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pplieden.sharepoint.com/sites/EDMITS/Shared Documents/50 - CCD/06 Data Use/SY 2023-24/Final 1a/Companion Files and Data Notes/"/>
    </mc:Choice>
  </mc:AlternateContent>
  <xr:revisionPtr revIDLastSave="0" documentId="13_ncr:1_{7F7E3A17-6E7D-4E35-AF4D-47078D46D0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troduction" sheetId="4" r:id="rId1"/>
    <sheet name="File Layout" sheetId="1" r:id="rId2"/>
    <sheet name="Stats-Char" sheetId="6" r:id="rId3"/>
    <sheet name="Stats-Cat" sheetId="9" r:id="rId4"/>
    <sheet name="Stats-Continuous" sheetId="3" r:id="rId5"/>
  </sheets>
  <definedNames>
    <definedName name="_xlnm._FilterDatabase" localSheetId="1" hidden="1">'File Layout'!$A$1:$M$16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4" l="1"/>
  <c r="D10" i="4"/>
  <c r="C10" i="4" l="1"/>
</calcChain>
</file>

<file path=xl/sharedStrings.xml><?xml version="1.0" encoding="utf-8"?>
<sst xmlns="http://schemas.openxmlformats.org/spreadsheetml/2006/main" count="277" uniqueCount="166">
  <si>
    <t>LEA</t>
  </si>
  <si>
    <t>New Field?</t>
  </si>
  <si>
    <t>Variable Name</t>
  </si>
  <si>
    <t>Variable Type</t>
  </si>
  <si>
    <t>Description</t>
  </si>
  <si>
    <t>Categorical Values</t>
  </si>
  <si>
    <t>Change to Categorical Values Flag</t>
  </si>
  <si>
    <t>Derived Field Flag</t>
  </si>
  <si>
    <t>Variables Used to Derive Field</t>
  </si>
  <si>
    <t>Product Title</t>
  </si>
  <si>
    <t>School Year</t>
  </si>
  <si>
    <t>Publication number</t>
  </si>
  <si>
    <t>Number of variables</t>
  </si>
  <si>
    <t>Number of records</t>
  </si>
  <si>
    <t>Number of records per case</t>
  </si>
  <si>
    <t>File Version</t>
  </si>
  <si>
    <t>Release date</t>
  </si>
  <si>
    <t>Access Control</t>
  </si>
  <si>
    <t>Public; no access restrictions</t>
  </si>
  <si>
    <t>Contact Information</t>
  </si>
  <si>
    <t>Contents of workbook</t>
  </si>
  <si>
    <t>SCHOOL_YEAR</t>
  </si>
  <si>
    <t>FIPST</t>
  </si>
  <si>
    <t>STATENAME</t>
  </si>
  <si>
    <t>ST</t>
  </si>
  <si>
    <t>STATE_AGENCY_NO</t>
  </si>
  <si>
    <t>GRADE</t>
  </si>
  <si>
    <t>RACE_ETHNICITY</t>
  </si>
  <si>
    <t>SEX</t>
  </si>
  <si>
    <t>STUDENT_COUNT</t>
  </si>
  <si>
    <t>TOTAL_INDICATOR</t>
  </si>
  <si>
    <t>DMS_FLAG</t>
  </si>
  <si>
    <t>YES</t>
  </si>
  <si>
    <t>Char</t>
  </si>
  <si>
    <t>Year corresponding to survey record</t>
  </si>
  <si>
    <t>American National Standards Institute (ANSI) state code</t>
  </si>
  <si>
    <t>State name</t>
  </si>
  <si>
    <t>Postal state abbreviation code</t>
  </si>
  <si>
    <t>Identifier of the reporting state agency</t>
  </si>
  <si>
    <t>029 - Directory</t>
  </si>
  <si>
    <t>Category Set A - By Race/Ethnicity; Sex; Grade 
Derived - Education Unit Total minus Adult Education Count
Derived - Subtotal by Race/Ethnicity and Sex minus Adult Education Count
Education Unit Total
Subtotal 4 - By Grade</t>
  </si>
  <si>
    <t>LEA_NAME</t>
  </si>
  <si>
    <t>UNION</t>
  </si>
  <si>
    <t>ST_LEAID</t>
  </si>
  <si>
    <t>LEAID</t>
  </si>
  <si>
    <t>Education Agency Name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</si>
  <si>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</si>
  <si>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State Local Education Number. State’s own ID for the education agency.</t>
  </si>
  <si>
    <t>NCES Agency Identification Number</t>
  </si>
  <si>
    <t>Length</t>
  </si>
  <si>
    <t>Label</t>
  </si>
  <si>
    <t>Sum</t>
  </si>
  <si>
    <t>Minimum</t>
  </si>
  <si>
    <t>Maximum</t>
  </si>
  <si>
    <t>Mean</t>
  </si>
  <si>
    <t>Missing 
(n counts)</t>
  </si>
  <si>
    <t>Student Count</t>
  </si>
  <si>
    <t>Level</t>
  </si>
  <si>
    <t>Student count</t>
  </si>
  <si>
    <t>Grade</t>
  </si>
  <si>
    <t>Race or Ethnicity</t>
  </si>
  <si>
    <t>Sex</t>
  </si>
  <si>
    <t>Total indicator description</t>
  </si>
  <si>
    <t>Data flag</t>
  </si>
  <si>
    <t>Numb</t>
  </si>
  <si>
    <r>
      <t>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File Specification</t>
    </r>
  </si>
  <si>
    <r>
      <t>Data Source - 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Data Group</t>
    </r>
  </si>
  <si>
    <t>052- Membership</t>
  </si>
  <si>
    <t>Filenames</t>
  </si>
  <si>
    <t>As-of date</t>
  </si>
  <si>
    <t>File variables and records</t>
  </si>
  <si>
    <t>Data file level</t>
  </si>
  <si>
    <t>Number of unique entities</t>
  </si>
  <si>
    <t>Multiple records for each entity.</t>
  </si>
  <si>
    <t>Citation</t>
  </si>
  <si>
    <t>Variable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</si>
  <si>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</si>
  <si>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</si>
  <si>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</si>
  <si>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</si>
  <si>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</si>
  <si>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</si>
  <si>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</si>
  <si>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</si>
  <si>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</si>
  <si>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No Category Codes</t>
  </si>
  <si>
    <t>Education Unit Total</t>
  </si>
  <si>
    <t>Derived</t>
  </si>
  <si>
    <t>Not reported</t>
  </si>
  <si>
    <t>Suppressed</t>
  </si>
  <si>
    <t>Pre-Kindergarten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</si>
  <si>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</si>
  <si>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</si>
  <si>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</si>
  <si>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</si>
  <si>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</si>
  <si>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</si>
  <si>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</si>
  <si>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</si>
  <si>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</si>
  <si>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</si>
  <si>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</si>
  <si>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</si>
  <si>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</si>
  <si>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13</t>
  </si>
  <si>
    <t>Ungraded</t>
  </si>
  <si>
    <t>Adult Education</t>
  </si>
  <si>
    <t>Not Specified</t>
  </si>
  <si>
    <t>American Indian or Alaska Native</t>
  </si>
  <si>
    <t>Asian</t>
  </si>
  <si>
    <t>Black or African American</t>
  </si>
  <si>
    <t>Hispanic/Latino</t>
  </si>
  <si>
    <t>Native Hawaiian or Other Pacific Islander</t>
  </si>
  <si>
    <t>Two or more races</t>
  </si>
  <si>
    <t>White</t>
  </si>
  <si>
    <t>Female</t>
  </si>
  <si>
    <t>Male</t>
  </si>
  <si>
    <t>Derived - Education Unit Total minus Adult Education Count</t>
  </si>
  <si>
    <t>Derived - Subtotal by Race/Ethnicity and Sex minus Adult Education Count</t>
  </si>
  <si>
    <t>Subtotal 4 - By Grade</t>
  </si>
  <si>
    <t>Unique entities</t>
  </si>
  <si>
    <t>Category Set A - By Race/Ethnicity; Sex; Grade</t>
  </si>
  <si>
    <t>Number of  records</t>
  </si>
  <si>
    <t>string variables.</t>
  </si>
  <si>
    <t>The frequency values for all categorical variables as well as the frequency and percentage</t>
  </si>
  <si>
    <t>distribution for each code value by variable.</t>
  </si>
  <si>
    <t>Var name: SURVYEAR</t>
  </si>
  <si>
    <t>Var name: STABR</t>
  </si>
  <si>
    <t>File Position</t>
  </si>
  <si>
    <t>New for 2016-17</t>
  </si>
  <si>
    <t>Changes from prior years</t>
  </si>
  <si>
    <t>Stats - Continuous (gray tab)</t>
  </si>
  <si>
    <t>Stats - Char (yellow tab)</t>
  </si>
  <si>
    <t>Stats - Cat (orange tab)</t>
  </si>
  <si>
    <t>Additional CCD resources</t>
  </si>
  <si>
    <t>CCD Online Documentation (https://nces.ed.gov/ccd/online_documentation.asp)</t>
  </si>
  <si>
    <t>CCD Reference Library (https://nces.ed.gov/ccd/reference_library.asp)</t>
  </si>
  <si>
    <t>Manual adjustment</t>
  </si>
  <si>
    <t>File Layout (blue tab)</t>
  </si>
  <si>
    <t/>
  </si>
  <si>
    <t>NOTE: Detail may not sum to totals due to rounding.</t>
  </si>
  <si>
    <t>Derived
Imputation
Manual adjustment
Missing
Not applicable
Not reported
Post-submission edit
Reported
Suppressed</t>
  </si>
  <si>
    <t>Imputation</t>
  </si>
  <si>
    <t>Not applicable</t>
  </si>
  <si>
    <t>Post-submission edit</t>
  </si>
  <si>
    <t>Lists all variables including the variable position, name, type, length, descriptive label,</t>
  </si>
  <si>
    <t>and other information about the variables.</t>
  </si>
  <si>
    <t>Information on the number of blank, missing, not applicable, and reported cells for character</t>
  </si>
  <si>
    <t xml:space="preserve">The unique entity count, record count as well as the sum, minimum, maximum, and mean values, and </t>
  </si>
  <si>
    <t>number of missing values of all continuous variables.</t>
  </si>
  <si>
    <t>EDFacts Partner Support Center (edfacts@ed.gov)</t>
  </si>
  <si>
    <t># Value rounded to zero.</t>
  </si>
  <si>
    <r>
      <rPr>
        <vertAlign val="superscript"/>
        <sz val="11"/>
        <color rgb="FF000000"/>
        <rFont val="Calibri"/>
        <family val="2"/>
        <scheme val="minor"/>
      </rPr>
      <t xml:space="preserve">1 </t>
    </r>
    <r>
      <rPr>
        <sz val="11"/>
        <color rgb="FF000000"/>
        <rFont val="Calibri"/>
        <family val="2"/>
        <scheme val="minor"/>
      </rPr>
      <t>Value rounds to 100.</t>
    </r>
  </si>
  <si>
    <t>Final Common Core of Data - LEA Membership</t>
  </si>
  <si>
    <t>1a Final</t>
  </si>
  <si>
    <t>2023-2024</t>
  </si>
  <si>
    <t>ccd_lea_052_2324_l_1a_073124</t>
  </si>
  <si>
    <t>SOURCE: U.S. Department of Education, National Center for Education Statistics, Common Core of Data (CCD), file ccd_lea_052_2324_l_1a_073124, 2023-24, Version Final 1a</t>
  </si>
  <si>
    <t>All data as of July 31, 2024</t>
  </si>
  <si>
    <t>NCES 2024-252</t>
  </si>
  <si>
    <t>#</t>
  </si>
  <si>
    <t>1</t>
  </si>
  <si>
    <t>American Indian or Alaska Native
Asian
Black or African American
Hispanic/Latino
Native Hawaiian or Other Pacific Islander
No Category Codes
Not Specified
Two or more races
White</t>
  </si>
  <si>
    <t>Adult Education
Grade 1
Grade 10
Grade 11
Grade 12
Grade 13
Grade 2
Grade 3
Grade 4
Grade 5
Grade 6
Grade 7
Grade 8
Grade 9
Kindergarten
No Category Codes
Not Specified
Pre-Kindergarten
Ungraded</t>
  </si>
  <si>
    <t>Female
Male
No Category Codes
Not Specified</t>
  </si>
  <si>
    <t>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</si>
</sst>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92">
    <xf numFmtId="0" fontId="0" fillId="0" borderId="0" xfId="0"/>
    <xf numFmtId="0" fontId="18" fillId="0" borderId="0" xfId="0" applyFont="1"/>
    <xf numFmtId="0" fontId="18" fillId="34" borderId="11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9" fillId="34" borderId="11" xfId="0" applyFont="1" applyFill="1" applyBorder="1" applyAlignment="1">
      <alignment wrapText="1"/>
    </xf>
    <xf numFmtId="0" fontId="19" fillId="34" borderId="11" xfId="0" applyFont="1" applyFill="1" applyBorder="1" applyAlignment="1">
      <alignment horizontal="left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quotePrefix="1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19" fillId="0" borderId="10" xfId="0" applyFont="1" applyBorder="1" applyAlignment="1">
      <alignment vertical="top" wrapText="1"/>
    </xf>
    <xf numFmtId="0" fontId="19" fillId="0" borderId="10" xfId="0" quotePrefix="1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0" fontId="18" fillId="0" borderId="10" xfId="0" applyFont="1" applyBorder="1"/>
    <xf numFmtId="0" fontId="18" fillId="0" borderId="10" xfId="0" applyFont="1" applyBorder="1" applyAlignment="1">
      <alignment vertical="top"/>
    </xf>
    <xf numFmtId="0" fontId="19" fillId="0" borderId="10" xfId="0" quotePrefix="1" applyFont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/>
    </xf>
    <xf numFmtId="0" fontId="18" fillId="0" borderId="10" xfId="0" applyFont="1" applyBorder="1" applyAlignment="1">
      <alignment wrapText="1"/>
    </xf>
    <xf numFmtId="0" fontId="14" fillId="0" borderId="0" xfId="0" applyFont="1"/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right" wrapText="1"/>
    </xf>
    <xf numFmtId="0" fontId="23" fillId="0" borderId="0" xfId="0" applyFont="1" applyAlignment="1">
      <alignment horizontal="left" vertical="top" wrapText="1"/>
    </xf>
    <xf numFmtId="3" fontId="23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horizontal="left" vertical="top" indent="5"/>
    </xf>
    <xf numFmtId="0" fontId="0" fillId="0" borderId="0" xfId="0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right" wrapText="1"/>
    </xf>
    <xf numFmtId="0" fontId="24" fillId="0" borderId="10" xfId="0" applyFont="1" applyBorder="1" applyAlignment="1">
      <alignment vertical="top" wrapText="1"/>
    </xf>
    <xf numFmtId="3" fontId="24" fillId="0" borderId="10" xfId="0" applyNumberFormat="1" applyFont="1" applyBorder="1" applyAlignment="1">
      <alignment vertical="top" wrapText="1"/>
    </xf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left" wrapText="1"/>
    </xf>
    <xf numFmtId="3" fontId="0" fillId="33" borderId="10" xfId="1" applyNumberFormat="1" applyFont="1" applyFill="1" applyBorder="1" applyAlignment="1">
      <alignment horizontal="right" wrapText="1"/>
    </xf>
    <xf numFmtId="165" fontId="0" fillId="33" borderId="10" xfId="0" applyNumberFormat="1" applyFill="1" applyBorder="1" applyAlignment="1">
      <alignment horizontal="right" wrapText="1"/>
    </xf>
    <xf numFmtId="0" fontId="25" fillId="0" borderId="10" xfId="0" applyFont="1" applyBorder="1" applyAlignment="1">
      <alignment horizontal="left" vertical="top" wrapText="1"/>
    </xf>
    <xf numFmtId="3" fontId="24" fillId="0" borderId="10" xfId="0" applyNumberFormat="1" applyFont="1" applyBorder="1" applyAlignment="1">
      <alignment horizontal="right" vertical="top" wrapText="1"/>
    </xf>
    <xf numFmtId="165" fontId="24" fillId="0" borderId="10" xfId="0" applyNumberFormat="1" applyFont="1" applyBorder="1" applyAlignment="1">
      <alignment horizontal="right" vertical="top" wrapText="1"/>
    </xf>
    <xf numFmtId="3" fontId="24" fillId="0" borderId="10" xfId="1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left"/>
    </xf>
    <xf numFmtId="0" fontId="24" fillId="0" borderId="10" xfId="0" applyFont="1" applyBorder="1" applyAlignment="1">
      <alignment horizontal="left" vertical="top" wrapText="1" indent="2"/>
    </xf>
    <xf numFmtId="0" fontId="24" fillId="0" borderId="12" xfId="0" applyFont="1" applyBorder="1" applyAlignment="1">
      <alignment horizontal="left" vertical="top" wrapText="1"/>
    </xf>
    <xf numFmtId="3" fontId="24" fillId="0" borderId="12" xfId="0" applyNumberFormat="1" applyFont="1" applyBorder="1" applyAlignment="1">
      <alignment horizontal="right" vertical="top" wrapText="1"/>
    </xf>
    <xf numFmtId="165" fontId="24" fillId="0" borderId="12" xfId="0" applyNumberFormat="1" applyFont="1" applyBorder="1" applyAlignment="1">
      <alignment horizontal="right" vertical="top" wrapText="1"/>
    </xf>
    <xf numFmtId="3" fontId="24" fillId="0" borderId="12" xfId="1" applyNumberFormat="1" applyFont="1" applyFill="1" applyBorder="1" applyAlignment="1">
      <alignment horizontal="right" vertical="top" wrapText="1"/>
    </xf>
    <xf numFmtId="3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33" borderId="10" xfId="1" applyNumberFormat="1" applyFont="1" applyFill="1" applyBorder="1" applyAlignment="1">
      <alignment horizontal="right" wrapText="1"/>
    </xf>
    <xf numFmtId="37" fontId="0" fillId="33" borderId="10" xfId="1" applyNumberFormat="1" applyFont="1" applyFill="1" applyBorder="1" applyAlignment="1">
      <alignment horizontal="right" wrapText="1"/>
    </xf>
    <xf numFmtId="43" fontId="0" fillId="33" borderId="10" xfId="1" applyFont="1" applyFill="1" applyBorder="1" applyAlignment="1">
      <alignment horizontal="right" wrapText="1"/>
    </xf>
    <xf numFmtId="0" fontId="0" fillId="0" borderId="10" xfId="0" applyBorder="1"/>
    <xf numFmtId="0" fontId="26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23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23" fillId="0" borderId="10" xfId="0" applyFont="1" applyBorder="1" applyAlignment="1">
      <alignment vertical="top" wrapText="1"/>
    </xf>
    <xf numFmtId="0" fontId="24" fillId="0" borderId="0" xfId="0" applyFont="1"/>
    <xf numFmtId="0" fontId="0" fillId="0" borderId="0" xfId="0" applyAlignment="1">
      <alignment horizontal="left" vertical="center" indent="5"/>
    </xf>
    <xf numFmtId="0" fontId="28" fillId="33" borderId="13" xfId="0" applyFont="1" applyFill="1" applyBorder="1" applyAlignment="1">
      <alignment horizontal="left" wrapText="1"/>
    </xf>
    <xf numFmtId="0" fontId="29" fillId="0" borderId="13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165" fontId="29" fillId="0" borderId="13" xfId="0" applyNumberFormat="1" applyFont="1" applyBorder="1" applyAlignment="1">
      <alignment horizontal="left" vertical="top" wrapText="1"/>
    </xf>
    <xf numFmtId="165" fontId="0" fillId="33" borderId="14" xfId="0" applyNumberFormat="1" applyFill="1" applyBorder="1" applyAlignment="1">
      <alignment horizontal="right" wrapText="1"/>
    </xf>
    <xf numFmtId="165" fontId="24" fillId="0" borderId="14" xfId="0" applyNumberFormat="1" applyFont="1" applyBorder="1" applyAlignment="1">
      <alignment horizontal="right" vertical="top" wrapText="1"/>
    </xf>
    <xf numFmtId="165" fontId="24" fillId="0" borderId="15" xfId="0" applyNumberFormat="1" applyFont="1" applyBorder="1" applyAlignment="1">
      <alignment horizontal="right" vertical="top" wrapText="1"/>
    </xf>
    <xf numFmtId="0" fontId="29" fillId="0" borderId="0" xfId="0" applyFont="1" applyAlignment="1">
      <alignment horizontal="left" vertical="top" wrapText="1"/>
    </xf>
    <xf numFmtId="165" fontId="29" fillId="0" borderId="0" xfId="0" applyNumberFormat="1" applyFont="1" applyAlignment="1">
      <alignment horizontal="left" vertical="top" wrapText="1"/>
    </xf>
    <xf numFmtId="0" fontId="28" fillId="0" borderId="0" xfId="0" applyFont="1" applyAlignment="1">
      <alignment horizontal="left" wrapText="1"/>
    </xf>
    <xf numFmtId="0" fontId="28" fillId="0" borderId="0" xfId="0" applyFont="1" applyAlignment="1">
      <alignment horizontal="left"/>
    </xf>
    <xf numFmtId="3" fontId="24" fillId="0" borderId="0" xfId="0" applyNumberFormat="1" applyFont="1"/>
    <xf numFmtId="0" fontId="30" fillId="0" borderId="0" xfId="0" applyFont="1" applyAlignment="1">
      <alignment vertical="center"/>
    </xf>
    <xf numFmtId="43" fontId="23" fillId="0" borderId="0" xfId="1" applyFont="1" applyFill="1" applyAlignment="1">
      <alignment vertical="top"/>
    </xf>
    <xf numFmtId="3" fontId="23" fillId="0" borderId="0" xfId="0" applyNumberFormat="1" applyFont="1" applyAlignment="1">
      <alignment wrapText="1"/>
    </xf>
    <xf numFmtId="0" fontId="24" fillId="0" borderId="0" xfId="0" applyFont="1" applyAlignment="1">
      <alignment horizontal="left" vertical="top" wrapText="1"/>
    </xf>
    <xf numFmtId="3" fontId="24" fillId="0" borderId="0" xfId="0" applyNumberFormat="1" applyFont="1" applyAlignment="1">
      <alignment horizontal="right" vertical="top" wrapText="1"/>
    </xf>
    <xf numFmtId="165" fontId="24" fillId="0" borderId="0" xfId="0" applyNumberFormat="1" applyFont="1" applyAlignment="1">
      <alignment horizontal="right" vertical="top" wrapText="1"/>
    </xf>
    <xf numFmtId="3" fontId="24" fillId="0" borderId="0" xfId="1" applyNumberFormat="1" applyFont="1" applyFill="1" applyBorder="1" applyAlignment="1">
      <alignment horizontal="right" vertical="top" wrapText="1"/>
    </xf>
    <xf numFmtId="49" fontId="23" fillId="0" borderId="0" xfId="0" applyNumberFormat="1" applyFont="1" applyFill="1"/>
  </cellXfs>
  <cellStyles count="5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00000000-0005-0000-0000-00000D000000}"/>
    <cellStyle name="60% - Accent2" xfId="26" builtinId="36" customBuiltin="1"/>
    <cellStyle name="60% - Accent2 2" xfId="45" xr:uid="{00000000-0005-0000-0000-00000F000000}"/>
    <cellStyle name="60% - Accent3" xfId="30" builtinId="40" customBuiltin="1"/>
    <cellStyle name="60% - Accent3 2" xfId="46" xr:uid="{00000000-0005-0000-0000-000011000000}"/>
    <cellStyle name="60% - Accent4" xfId="34" builtinId="44" customBuiltin="1"/>
    <cellStyle name="60% - Accent4 2" xfId="47" xr:uid="{00000000-0005-0000-0000-000013000000}"/>
    <cellStyle name="60% - Accent5" xfId="38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 xr:uid="{00000000-0005-0000-0000-00002B000000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G31"/>
  <sheetViews>
    <sheetView tabSelected="1" workbookViewId="0">
      <selection activeCell="C11" sqref="C11"/>
    </sheetView>
  </sheetViews>
  <sheetFormatPr defaultColWidth="8.81640625" defaultRowHeight="14.5" x14ac:dyDescent="0.35"/>
  <cols>
    <col min="1" max="1" width="37.1796875" customWidth="1"/>
    <col min="2" max="2" width="33.1796875" customWidth="1"/>
    <col min="3" max="5" width="11.26953125" style="39" customWidth="1"/>
    <col min="6" max="6" width="79.453125" style="39" customWidth="1"/>
  </cols>
  <sheetData>
    <row r="1" spans="1:7" x14ac:dyDescent="0.35">
      <c r="A1" s="29" t="s">
        <v>9</v>
      </c>
      <c r="B1" s="30" t="s">
        <v>153</v>
      </c>
      <c r="C1" s="31"/>
      <c r="D1" s="31"/>
      <c r="E1" s="31"/>
      <c r="F1" s="31"/>
      <c r="G1" s="27"/>
    </row>
    <row r="2" spans="1:7" x14ac:dyDescent="0.35">
      <c r="A2" s="29" t="s">
        <v>10</v>
      </c>
      <c r="B2" s="30" t="s">
        <v>155</v>
      </c>
      <c r="C2" s="31"/>
      <c r="D2" s="31"/>
      <c r="E2" s="31"/>
      <c r="F2" s="31"/>
      <c r="G2" s="27"/>
    </row>
    <row r="3" spans="1:7" x14ac:dyDescent="0.35">
      <c r="A3" s="26" t="s">
        <v>68</v>
      </c>
      <c r="B3" s="28" t="s">
        <v>156</v>
      </c>
      <c r="C3" s="31"/>
      <c r="D3" s="31"/>
      <c r="E3" s="31"/>
      <c r="F3" s="31"/>
      <c r="G3" s="27"/>
    </row>
    <row r="4" spans="1:7" x14ac:dyDescent="0.35">
      <c r="A4" s="26"/>
      <c r="B4" s="31"/>
      <c r="C4" s="31"/>
      <c r="D4" s="31"/>
      <c r="E4" s="31"/>
      <c r="F4" s="31"/>
      <c r="G4" s="27"/>
    </row>
    <row r="5" spans="1:7" s="28" customFormat="1" x14ac:dyDescent="0.35">
      <c r="A5" s="26" t="s">
        <v>69</v>
      </c>
      <c r="B5" s="70" t="s">
        <v>158</v>
      </c>
      <c r="F5" s="71"/>
      <c r="G5" s="85"/>
    </row>
    <row r="6" spans="1:7" s="28" customFormat="1" x14ac:dyDescent="0.35">
      <c r="A6" s="26"/>
      <c r="B6" s="32"/>
      <c r="G6" s="27"/>
    </row>
    <row r="7" spans="1:7" x14ac:dyDescent="0.35">
      <c r="A7" s="29" t="s">
        <v>11</v>
      </c>
      <c r="B7" s="30" t="s">
        <v>159</v>
      </c>
      <c r="C7" s="31"/>
      <c r="D7" s="31"/>
      <c r="E7" s="31"/>
      <c r="F7" s="31"/>
      <c r="G7" s="27"/>
    </row>
    <row r="8" spans="1:7" x14ac:dyDescent="0.35">
      <c r="A8" s="29"/>
      <c r="B8" s="30"/>
      <c r="C8" s="31"/>
      <c r="D8" s="31"/>
      <c r="E8" s="31"/>
      <c r="F8" s="31"/>
      <c r="G8" s="27"/>
    </row>
    <row r="9" spans="1:7" ht="43.5" x14ac:dyDescent="0.35">
      <c r="A9" s="29" t="s">
        <v>70</v>
      </c>
      <c r="B9" s="29" t="s">
        <v>71</v>
      </c>
      <c r="C9" s="33" t="s">
        <v>12</v>
      </c>
      <c r="D9" s="33" t="s">
        <v>72</v>
      </c>
      <c r="E9" s="33" t="s">
        <v>13</v>
      </c>
      <c r="F9" s="28"/>
      <c r="G9" s="27"/>
    </row>
    <row r="10" spans="1:7" x14ac:dyDescent="0.35">
      <c r="A10" s="29"/>
      <c r="B10" s="30" t="s">
        <v>0</v>
      </c>
      <c r="C10" s="86">
        <f>MAX('File Layout'!F:F)</f>
        <v>15</v>
      </c>
      <c r="D10" s="86">
        <f>+'Stats-Continuous'!D2</f>
        <v>18546</v>
      </c>
      <c r="E10" s="86">
        <f>+'Stats-Continuous'!E2</f>
        <v>3813878</v>
      </c>
      <c r="F10" s="34"/>
      <c r="G10" s="27"/>
    </row>
    <row r="11" spans="1:7" x14ac:dyDescent="0.35">
      <c r="A11" s="29"/>
      <c r="C11" s="35"/>
      <c r="D11" s="35"/>
      <c r="E11" s="28"/>
      <c r="F11" s="35"/>
      <c r="G11" s="27"/>
    </row>
    <row r="12" spans="1:7" x14ac:dyDescent="0.35">
      <c r="A12" s="29" t="s">
        <v>14</v>
      </c>
      <c r="B12" s="30" t="s">
        <v>73</v>
      </c>
      <c r="C12" s="31"/>
      <c r="D12" s="30"/>
      <c r="E12" s="31"/>
      <c r="F12" s="31"/>
      <c r="G12" s="27"/>
    </row>
    <row r="13" spans="1:7" x14ac:dyDescent="0.35">
      <c r="A13" s="29" t="s">
        <v>15</v>
      </c>
      <c r="B13" s="30" t="s">
        <v>154</v>
      </c>
      <c r="C13" s="31"/>
      <c r="D13" s="31"/>
      <c r="E13" s="31"/>
      <c r="F13" s="31"/>
      <c r="G13" s="27"/>
    </row>
    <row r="14" spans="1:7" x14ac:dyDescent="0.35">
      <c r="A14" s="29" t="s">
        <v>16</v>
      </c>
      <c r="B14" s="91" t="s">
        <v>165</v>
      </c>
      <c r="C14" s="31"/>
      <c r="D14" s="31"/>
      <c r="E14" s="31"/>
      <c r="F14" s="31"/>
      <c r="G14" s="27"/>
    </row>
    <row r="15" spans="1:7" x14ac:dyDescent="0.35">
      <c r="A15" s="29" t="s">
        <v>17</v>
      </c>
      <c r="B15" s="30" t="s">
        <v>18</v>
      </c>
      <c r="C15" s="31"/>
      <c r="D15" s="31"/>
      <c r="E15" s="31"/>
      <c r="F15" s="31"/>
      <c r="G15" s="27"/>
    </row>
    <row r="16" spans="1:7" s="28" customFormat="1" x14ac:dyDescent="0.35">
      <c r="A16" s="29"/>
      <c r="B16" s="30"/>
      <c r="G16" s="27"/>
    </row>
    <row r="17" spans="1:6" x14ac:dyDescent="0.35">
      <c r="A17" s="26" t="s">
        <v>19</v>
      </c>
      <c r="B17" s="27" t="s">
        <v>150</v>
      </c>
      <c r="C17" s="28"/>
      <c r="D17" s="28"/>
      <c r="E17" s="28"/>
      <c r="F17" s="28"/>
    </row>
    <row r="18" spans="1:6" x14ac:dyDescent="0.35">
      <c r="A18" s="26"/>
      <c r="B18" s="27"/>
      <c r="C18" s="28"/>
      <c r="D18" s="28"/>
      <c r="E18" s="28"/>
      <c r="F18" s="28"/>
    </row>
    <row r="19" spans="1:6" x14ac:dyDescent="0.35">
      <c r="A19" s="26" t="s">
        <v>134</v>
      </c>
      <c r="B19" s="27" t="s">
        <v>135</v>
      </c>
      <c r="C19" s="28"/>
      <c r="D19" s="28"/>
      <c r="E19" s="28"/>
      <c r="F19" s="28"/>
    </row>
    <row r="20" spans="1:6" x14ac:dyDescent="0.35">
      <c r="A20" s="26"/>
      <c r="B20" s="27" t="s">
        <v>136</v>
      </c>
      <c r="C20" s="28"/>
      <c r="D20" s="28"/>
      <c r="E20" s="28"/>
      <c r="F20" s="28"/>
    </row>
    <row r="21" spans="1:6" x14ac:dyDescent="0.35">
      <c r="A21" s="36" t="s">
        <v>20</v>
      </c>
      <c r="B21" s="27"/>
      <c r="C21" s="37"/>
      <c r="D21" s="37"/>
      <c r="E21" s="37"/>
      <c r="F21" s="37"/>
    </row>
    <row r="22" spans="1:6" x14ac:dyDescent="0.35">
      <c r="A22" s="38" t="s">
        <v>138</v>
      </c>
      <c r="B22" s="84" t="s">
        <v>145</v>
      </c>
      <c r="C22" s="28"/>
      <c r="D22" s="28"/>
      <c r="E22" s="28"/>
      <c r="F22" s="28"/>
    </row>
    <row r="23" spans="1:6" x14ac:dyDescent="0.35">
      <c r="A23" s="38"/>
      <c r="B23" s="84" t="s">
        <v>146</v>
      </c>
      <c r="C23" s="28"/>
      <c r="D23" s="28"/>
      <c r="E23" s="28"/>
      <c r="F23" s="28"/>
    </row>
    <row r="24" spans="1:6" x14ac:dyDescent="0.35">
      <c r="A24" s="38" t="s">
        <v>132</v>
      </c>
      <c r="B24" s="84" t="s">
        <v>147</v>
      </c>
      <c r="C24" s="28"/>
      <c r="D24" s="28"/>
      <c r="E24" s="28"/>
      <c r="F24" s="28"/>
    </row>
    <row r="25" spans="1:6" x14ac:dyDescent="0.35">
      <c r="A25" s="38"/>
      <c r="B25" s="84" t="s">
        <v>123</v>
      </c>
      <c r="C25" s="28"/>
      <c r="D25" s="28"/>
      <c r="E25" s="28"/>
      <c r="F25" s="28"/>
    </row>
    <row r="26" spans="1:6" x14ac:dyDescent="0.35">
      <c r="A26" s="38" t="s">
        <v>133</v>
      </c>
      <c r="B26" s="84" t="s">
        <v>124</v>
      </c>
      <c r="C26" s="28"/>
      <c r="D26" s="28"/>
      <c r="E26" s="28"/>
      <c r="F26" s="28"/>
    </row>
    <row r="27" spans="1:6" x14ac:dyDescent="0.35">
      <c r="A27" s="38"/>
      <c r="B27" s="84" t="s">
        <v>125</v>
      </c>
      <c r="C27" s="28"/>
      <c r="D27" s="28"/>
      <c r="E27" s="28"/>
      <c r="F27" s="28"/>
    </row>
    <row r="28" spans="1:6" x14ac:dyDescent="0.35">
      <c r="A28" s="38" t="s">
        <v>131</v>
      </c>
      <c r="B28" s="84" t="s">
        <v>148</v>
      </c>
      <c r="C28"/>
      <c r="D28"/>
      <c r="E28"/>
      <c r="F28"/>
    </row>
    <row r="29" spans="1:6" x14ac:dyDescent="0.35">
      <c r="B29" s="84" t="s">
        <v>149</v>
      </c>
    </row>
    <row r="30" spans="1:6" x14ac:dyDescent="0.35">
      <c r="A30" s="36" t="s">
        <v>74</v>
      </c>
    </row>
    <row r="31" spans="1:6" x14ac:dyDescent="0.35">
      <c r="A31" s="38" t="s">
        <v>0</v>
      </c>
      <c r="B31" t="s">
        <v>157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</sheetPr>
  <dimension ref="A1:M77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9.1796875" defaultRowHeight="13" x14ac:dyDescent="0.3"/>
  <cols>
    <col min="1" max="1" width="6.7265625" style="9" customWidth="1"/>
    <col min="2" max="2" width="24.54296875" style="10" customWidth="1"/>
    <col min="3" max="3" width="13.7265625" style="10"/>
    <col min="4" max="5" width="8.453125" style="10" customWidth="1"/>
    <col min="6" max="6" width="7.7265625" style="10" customWidth="1"/>
    <col min="7" max="7" width="37.1796875" style="10" customWidth="1"/>
    <col min="8" max="8" width="32" style="10" customWidth="1"/>
    <col min="9" max="9" width="13.7265625" style="10"/>
    <col min="10" max="11" width="13.7265625" style="1"/>
    <col min="12" max="16384" width="9.1796875" style="1"/>
  </cols>
  <sheetData>
    <row r="1" spans="1:13" s="7" customFormat="1" ht="52" x14ac:dyDescent="0.3">
      <c r="A1" s="2" t="s">
        <v>1</v>
      </c>
      <c r="B1" s="3" t="s">
        <v>2</v>
      </c>
      <c r="C1" s="3" t="s">
        <v>130</v>
      </c>
      <c r="D1" s="3" t="s">
        <v>3</v>
      </c>
      <c r="E1" s="3" t="s">
        <v>49</v>
      </c>
      <c r="F1" s="4" t="s">
        <v>128</v>
      </c>
      <c r="G1" s="3" t="s">
        <v>4</v>
      </c>
      <c r="H1" s="5" t="s">
        <v>5</v>
      </c>
      <c r="I1" s="5" t="s">
        <v>6</v>
      </c>
      <c r="J1" s="5" t="s">
        <v>65</v>
      </c>
      <c r="K1" s="6" t="s">
        <v>66</v>
      </c>
      <c r="L1" s="5" t="s">
        <v>7</v>
      </c>
      <c r="M1" s="5" t="s">
        <v>8</v>
      </c>
    </row>
    <row r="2" spans="1:13" ht="26" x14ac:dyDescent="0.3">
      <c r="A2" s="19"/>
      <c r="B2" s="8" t="s">
        <v>21</v>
      </c>
      <c r="C2" s="65" t="s">
        <v>126</v>
      </c>
      <c r="D2" s="21" t="s">
        <v>33</v>
      </c>
      <c r="E2" s="21">
        <v>9</v>
      </c>
      <c r="F2" s="19">
        <v>1</v>
      </c>
      <c r="G2" s="17" t="s">
        <v>34</v>
      </c>
      <c r="H2" s="21"/>
      <c r="I2" s="21"/>
      <c r="J2" s="17"/>
      <c r="K2" s="18"/>
      <c r="L2" s="8"/>
      <c r="M2" s="17"/>
    </row>
    <row r="3" spans="1:13" ht="26" x14ac:dyDescent="0.3">
      <c r="A3" s="19"/>
      <c r="B3" s="8" t="s">
        <v>22</v>
      </c>
      <c r="C3" s="66"/>
      <c r="D3" s="21" t="s">
        <v>33</v>
      </c>
      <c r="E3" s="21">
        <v>2</v>
      </c>
      <c r="F3" s="19">
        <v>2</v>
      </c>
      <c r="G3" s="17" t="s">
        <v>35</v>
      </c>
      <c r="H3" s="21"/>
      <c r="I3" s="21"/>
      <c r="J3" s="17" t="s">
        <v>39</v>
      </c>
      <c r="K3" s="18">
        <v>559</v>
      </c>
      <c r="L3" s="8"/>
      <c r="M3" s="17"/>
    </row>
    <row r="4" spans="1:13" x14ac:dyDescent="0.3">
      <c r="A4" s="19"/>
      <c r="B4" s="8" t="s">
        <v>23</v>
      </c>
      <c r="C4" s="66"/>
      <c r="D4" s="21" t="s">
        <v>33</v>
      </c>
      <c r="E4" s="21">
        <v>44</v>
      </c>
      <c r="F4" s="19">
        <v>3</v>
      </c>
      <c r="G4" s="17" t="s">
        <v>36</v>
      </c>
      <c r="H4" s="21"/>
      <c r="I4" s="21"/>
      <c r="J4" s="17"/>
      <c r="K4" s="18"/>
      <c r="L4" s="8" t="s">
        <v>32</v>
      </c>
      <c r="M4" s="17" t="s">
        <v>22</v>
      </c>
    </row>
    <row r="5" spans="1:13" ht="26" x14ac:dyDescent="0.3">
      <c r="A5" s="19"/>
      <c r="B5" s="8" t="s">
        <v>24</v>
      </c>
      <c r="C5" s="65" t="s">
        <v>127</v>
      </c>
      <c r="D5" s="21" t="s">
        <v>33</v>
      </c>
      <c r="E5" s="21">
        <v>2</v>
      </c>
      <c r="F5" s="19">
        <v>4</v>
      </c>
      <c r="G5" s="17" t="s">
        <v>37</v>
      </c>
      <c r="H5" s="21"/>
      <c r="I5" s="21"/>
      <c r="J5" s="17"/>
      <c r="K5" s="18"/>
      <c r="L5" s="8" t="s">
        <v>32</v>
      </c>
      <c r="M5" s="17" t="s">
        <v>22</v>
      </c>
    </row>
    <row r="6" spans="1:13" x14ac:dyDescent="0.3">
      <c r="A6" s="19"/>
      <c r="B6" s="21" t="s">
        <v>41</v>
      </c>
      <c r="C6" s="66"/>
      <c r="D6" s="21" t="s">
        <v>33</v>
      </c>
      <c r="E6" s="21">
        <v>60</v>
      </c>
      <c r="F6" s="19">
        <v>5</v>
      </c>
      <c r="G6" s="17" t="s">
        <v>45</v>
      </c>
      <c r="H6" s="21"/>
      <c r="I6" s="21"/>
      <c r="J6" s="17" t="s">
        <v>39</v>
      </c>
      <c r="K6" s="18">
        <v>7</v>
      </c>
      <c r="L6" s="20"/>
      <c r="M6" s="20"/>
    </row>
    <row r="7" spans="1:13" x14ac:dyDescent="0.3">
      <c r="A7" s="23"/>
      <c r="B7" s="21" t="s">
        <v>25</v>
      </c>
      <c r="C7" s="65" t="s">
        <v>129</v>
      </c>
      <c r="D7" s="21" t="s">
        <v>33</v>
      </c>
      <c r="E7" s="21">
        <v>3</v>
      </c>
      <c r="F7" s="19">
        <v>6</v>
      </c>
      <c r="G7" s="17" t="s">
        <v>38</v>
      </c>
      <c r="H7" s="21"/>
      <c r="I7" s="21"/>
      <c r="J7" s="17" t="s">
        <v>39</v>
      </c>
      <c r="K7" s="18">
        <v>570</v>
      </c>
      <c r="L7" s="20"/>
      <c r="M7" s="20"/>
    </row>
    <row r="8" spans="1:13" ht="78" x14ac:dyDescent="0.3">
      <c r="A8" s="19"/>
      <c r="B8" s="21" t="s">
        <v>42</v>
      </c>
      <c r="C8" s="21"/>
      <c r="D8" s="21" t="s">
        <v>33</v>
      </c>
      <c r="E8" s="21">
        <v>3</v>
      </c>
      <c r="F8" s="19">
        <v>7</v>
      </c>
      <c r="G8" s="17" t="s">
        <v>46</v>
      </c>
      <c r="H8" s="21"/>
      <c r="I8" s="21"/>
      <c r="J8" s="17" t="s">
        <v>39</v>
      </c>
      <c r="K8" s="18">
        <v>551</v>
      </c>
      <c r="L8" s="20"/>
      <c r="M8" s="20"/>
    </row>
    <row r="9" spans="1:13" ht="26" x14ac:dyDescent="0.3">
      <c r="A9" s="19"/>
      <c r="B9" s="21" t="s">
        <v>43</v>
      </c>
      <c r="C9" s="21"/>
      <c r="D9" s="21" t="s">
        <v>33</v>
      </c>
      <c r="E9" s="21">
        <v>35</v>
      </c>
      <c r="F9" s="19">
        <v>8</v>
      </c>
      <c r="G9" s="17" t="s">
        <v>47</v>
      </c>
      <c r="H9" s="21"/>
      <c r="I9" s="21"/>
      <c r="J9" s="17" t="s">
        <v>39</v>
      </c>
      <c r="K9" s="18">
        <v>4</v>
      </c>
      <c r="L9" s="20"/>
      <c r="M9" s="20"/>
    </row>
    <row r="10" spans="1:13" x14ac:dyDescent="0.3">
      <c r="A10" s="19"/>
      <c r="B10" s="21" t="s">
        <v>44</v>
      </c>
      <c r="C10" s="21"/>
      <c r="D10" s="21" t="s">
        <v>33</v>
      </c>
      <c r="E10" s="21">
        <v>7</v>
      </c>
      <c r="F10" s="19">
        <v>9</v>
      </c>
      <c r="G10" s="17" t="s">
        <v>48</v>
      </c>
      <c r="H10" s="21"/>
      <c r="I10" s="21"/>
      <c r="J10" s="17" t="s">
        <v>39</v>
      </c>
      <c r="K10" s="18">
        <v>1</v>
      </c>
      <c r="L10" s="20"/>
      <c r="M10" s="20"/>
    </row>
    <row r="11" spans="1:13" ht="247" x14ac:dyDescent="0.3">
      <c r="A11" s="23"/>
      <c r="B11" s="21" t="s">
        <v>26</v>
      </c>
      <c r="C11" s="65" t="s">
        <v>129</v>
      </c>
      <c r="D11" s="21" t="s">
        <v>33</v>
      </c>
      <c r="E11" s="21">
        <v>17</v>
      </c>
      <c r="F11" s="19">
        <v>10</v>
      </c>
      <c r="G11" s="21" t="s">
        <v>59</v>
      </c>
      <c r="H11" s="17" t="s">
        <v>163</v>
      </c>
      <c r="I11" s="21"/>
      <c r="J11" s="17" t="s">
        <v>67</v>
      </c>
      <c r="K11" s="22">
        <v>39</v>
      </c>
      <c r="L11" s="20"/>
      <c r="M11" s="20"/>
    </row>
    <row r="12" spans="1:13" ht="130" x14ac:dyDescent="0.3">
      <c r="A12" s="23"/>
      <c r="B12" s="21" t="s">
        <v>27</v>
      </c>
      <c r="C12" s="65" t="s">
        <v>129</v>
      </c>
      <c r="D12" s="21" t="s">
        <v>33</v>
      </c>
      <c r="E12" s="21">
        <v>41</v>
      </c>
      <c r="F12" s="19">
        <v>11</v>
      </c>
      <c r="G12" s="21" t="s">
        <v>60</v>
      </c>
      <c r="H12" s="17" t="s">
        <v>162</v>
      </c>
      <c r="I12" s="21"/>
      <c r="J12" s="17" t="s">
        <v>67</v>
      </c>
      <c r="K12" s="22">
        <v>39</v>
      </c>
      <c r="L12" s="20"/>
      <c r="M12" s="20"/>
    </row>
    <row r="13" spans="1:13" ht="52" x14ac:dyDescent="0.3">
      <c r="A13" s="23"/>
      <c r="B13" s="21" t="s">
        <v>28</v>
      </c>
      <c r="C13" s="65" t="s">
        <v>129</v>
      </c>
      <c r="D13" s="21" t="s">
        <v>33</v>
      </c>
      <c r="E13" s="21">
        <v>17</v>
      </c>
      <c r="F13" s="19">
        <v>12</v>
      </c>
      <c r="G13" s="21" t="s">
        <v>61</v>
      </c>
      <c r="H13" s="17" t="s">
        <v>164</v>
      </c>
      <c r="I13" s="21"/>
      <c r="J13" s="17" t="s">
        <v>67</v>
      </c>
      <c r="K13" s="22">
        <v>39</v>
      </c>
      <c r="L13" s="20"/>
      <c r="M13" s="20"/>
    </row>
    <row r="14" spans="1:13" ht="26" x14ac:dyDescent="0.3">
      <c r="A14" s="23"/>
      <c r="B14" s="21" t="s">
        <v>29</v>
      </c>
      <c r="C14" s="65" t="s">
        <v>129</v>
      </c>
      <c r="D14" s="21" t="s">
        <v>64</v>
      </c>
      <c r="E14" s="21">
        <v>8</v>
      </c>
      <c r="F14" s="19">
        <v>13</v>
      </c>
      <c r="G14" s="17" t="s">
        <v>58</v>
      </c>
      <c r="H14" s="21"/>
      <c r="I14" s="21"/>
      <c r="J14" s="17" t="s">
        <v>67</v>
      </c>
      <c r="K14" s="22">
        <v>39</v>
      </c>
      <c r="L14" s="20"/>
      <c r="M14" s="20"/>
    </row>
    <row r="15" spans="1:13" ht="104" x14ac:dyDescent="0.3">
      <c r="A15" s="23"/>
      <c r="B15" s="21" t="s">
        <v>30</v>
      </c>
      <c r="C15" s="65" t="s">
        <v>129</v>
      </c>
      <c r="D15" s="21" t="s">
        <v>33</v>
      </c>
      <c r="E15" s="21">
        <v>72</v>
      </c>
      <c r="F15" s="19">
        <v>14</v>
      </c>
      <c r="G15" s="21" t="s">
        <v>62</v>
      </c>
      <c r="H15" s="17" t="s">
        <v>40</v>
      </c>
      <c r="I15" s="21"/>
      <c r="J15" s="17" t="s">
        <v>67</v>
      </c>
      <c r="K15" s="22">
        <v>39</v>
      </c>
      <c r="L15" s="20"/>
      <c r="M15" s="20"/>
    </row>
    <row r="16" spans="1:13" ht="117" x14ac:dyDescent="0.3">
      <c r="A16" s="23"/>
      <c r="B16" s="21" t="s">
        <v>31</v>
      </c>
      <c r="C16" s="65" t="s">
        <v>129</v>
      </c>
      <c r="D16" s="21" t="s">
        <v>33</v>
      </c>
      <c r="E16" s="21">
        <v>21</v>
      </c>
      <c r="F16" s="19">
        <v>15</v>
      </c>
      <c r="G16" s="21" t="s">
        <v>63</v>
      </c>
      <c r="H16" s="24" t="s">
        <v>141</v>
      </c>
      <c r="I16" s="21"/>
      <c r="J16" s="17"/>
      <c r="K16" s="18"/>
      <c r="L16" s="20"/>
      <c r="M16" s="20"/>
    </row>
    <row r="17" spans="6:11" x14ac:dyDescent="0.3">
      <c r="F17" s="9"/>
      <c r="G17" s="11"/>
      <c r="J17" s="11"/>
      <c r="K17" s="12"/>
    </row>
    <row r="18" spans="6:11" x14ac:dyDescent="0.3">
      <c r="F18" s="9"/>
      <c r="G18" s="11"/>
      <c r="J18" s="11"/>
      <c r="K18" s="12"/>
    </row>
    <row r="19" spans="6:11" x14ac:dyDescent="0.3">
      <c r="F19" s="9"/>
      <c r="G19" s="11"/>
      <c r="J19" s="11"/>
      <c r="K19" s="12"/>
    </row>
    <row r="20" spans="6:11" x14ac:dyDescent="0.3">
      <c r="F20" s="9"/>
      <c r="G20" s="11"/>
      <c r="J20" s="11"/>
      <c r="K20" s="12"/>
    </row>
    <row r="21" spans="6:11" x14ac:dyDescent="0.3">
      <c r="F21" s="9"/>
      <c r="G21" s="11"/>
      <c r="J21" s="11"/>
      <c r="K21" s="12"/>
    </row>
    <row r="22" spans="6:11" x14ac:dyDescent="0.3">
      <c r="F22" s="9"/>
      <c r="G22" s="11"/>
      <c r="J22" s="11"/>
      <c r="K22" s="12"/>
    </row>
    <row r="23" spans="6:11" x14ac:dyDescent="0.3">
      <c r="F23" s="9"/>
      <c r="G23" s="11"/>
      <c r="J23" s="11"/>
      <c r="K23" s="12"/>
    </row>
    <row r="24" spans="6:11" x14ac:dyDescent="0.3">
      <c r="F24" s="9"/>
      <c r="G24" s="11"/>
      <c r="J24" s="11"/>
      <c r="K24" s="12"/>
    </row>
    <row r="25" spans="6:11" x14ac:dyDescent="0.3">
      <c r="F25" s="9"/>
      <c r="G25" s="11"/>
      <c r="J25" s="11"/>
      <c r="K25" s="12"/>
    </row>
    <row r="26" spans="6:11" x14ac:dyDescent="0.3">
      <c r="F26" s="9"/>
      <c r="G26" s="11"/>
      <c r="J26" s="11"/>
      <c r="K26" s="13"/>
    </row>
    <row r="27" spans="6:11" x14ac:dyDescent="0.3">
      <c r="F27" s="9"/>
      <c r="G27" s="11"/>
      <c r="J27" s="11"/>
      <c r="K27" s="12"/>
    </row>
    <row r="28" spans="6:11" x14ac:dyDescent="0.3">
      <c r="F28" s="9"/>
      <c r="G28" s="11"/>
      <c r="J28" s="11"/>
      <c r="K28" s="12"/>
    </row>
    <row r="29" spans="6:11" x14ac:dyDescent="0.3">
      <c r="F29" s="9"/>
      <c r="G29" s="11"/>
      <c r="J29" s="11"/>
      <c r="K29" s="12"/>
    </row>
    <row r="30" spans="6:11" x14ac:dyDescent="0.3">
      <c r="F30" s="9"/>
      <c r="G30" s="11"/>
      <c r="J30" s="11"/>
      <c r="K30" s="12"/>
    </row>
    <row r="31" spans="6:11" x14ac:dyDescent="0.3">
      <c r="F31" s="9"/>
      <c r="G31" s="11"/>
      <c r="J31" s="11"/>
      <c r="K31" s="12"/>
    </row>
    <row r="32" spans="6:11" x14ac:dyDescent="0.3">
      <c r="F32" s="9"/>
      <c r="G32" s="11"/>
      <c r="J32" s="11"/>
      <c r="K32" s="12"/>
    </row>
    <row r="33" spans="6:13" x14ac:dyDescent="0.3">
      <c r="F33" s="9"/>
      <c r="G33" s="11"/>
      <c r="J33" s="11"/>
      <c r="K33" s="12"/>
    </row>
    <row r="34" spans="6:13" x14ac:dyDescent="0.3">
      <c r="F34" s="9"/>
      <c r="G34" s="11"/>
      <c r="J34" s="11"/>
      <c r="K34" s="12"/>
    </row>
    <row r="35" spans="6:13" x14ac:dyDescent="0.3">
      <c r="F35" s="9"/>
      <c r="G35" s="11"/>
      <c r="H35" s="11"/>
      <c r="I35" s="11"/>
      <c r="L35" s="14"/>
      <c r="M35" s="14"/>
    </row>
    <row r="36" spans="6:13" x14ac:dyDescent="0.3">
      <c r="F36" s="9"/>
      <c r="G36" s="11"/>
      <c r="H36" s="11"/>
      <c r="I36" s="11"/>
      <c r="J36" s="11"/>
      <c r="K36" s="12"/>
    </row>
    <row r="37" spans="6:13" x14ac:dyDescent="0.3">
      <c r="F37" s="9"/>
      <c r="G37" s="11"/>
      <c r="H37" s="11"/>
      <c r="I37" s="11"/>
      <c r="J37" s="11"/>
      <c r="K37" s="12"/>
      <c r="L37" s="14"/>
      <c r="M37" s="14"/>
    </row>
    <row r="38" spans="6:13" x14ac:dyDescent="0.3">
      <c r="F38" s="9"/>
      <c r="G38" s="11"/>
      <c r="H38" s="11"/>
      <c r="I38" s="11"/>
      <c r="J38" s="11"/>
      <c r="K38" s="12"/>
      <c r="L38" s="14"/>
      <c r="M38" s="11"/>
    </row>
    <row r="39" spans="6:13" x14ac:dyDescent="0.3">
      <c r="F39" s="9"/>
      <c r="G39" s="11"/>
      <c r="J39" s="11"/>
      <c r="K39" s="12"/>
      <c r="L39" s="14"/>
      <c r="M39" s="11"/>
    </row>
    <row r="40" spans="6:13" x14ac:dyDescent="0.3">
      <c r="F40" s="9"/>
      <c r="G40" s="11"/>
      <c r="H40" s="11"/>
      <c r="I40" s="11"/>
      <c r="J40" s="11"/>
      <c r="K40" s="12"/>
      <c r="L40" s="14"/>
      <c r="M40" s="11"/>
    </row>
    <row r="41" spans="6:13" x14ac:dyDescent="0.3">
      <c r="F41" s="9"/>
      <c r="G41" s="11"/>
      <c r="H41" s="11"/>
      <c r="I41" s="11"/>
      <c r="J41" s="11"/>
      <c r="K41" s="15"/>
      <c r="L41" s="14"/>
      <c r="M41" s="14"/>
    </row>
    <row r="42" spans="6:13" x14ac:dyDescent="0.3">
      <c r="F42" s="9"/>
      <c r="G42" s="11"/>
      <c r="H42" s="11"/>
      <c r="I42" s="11"/>
      <c r="J42" s="11"/>
      <c r="K42" s="12"/>
    </row>
    <row r="43" spans="6:13" x14ac:dyDescent="0.3">
      <c r="F43" s="9"/>
      <c r="G43" s="11"/>
      <c r="H43" s="11"/>
      <c r="I43" s="11"/>
      <c r="J43" s="11"/>
      <c r="K43" s="12"/>
      <c r="L43" s="14"/>
      <c r="M43" s="14"/>
    </row>
    <row r="44" spans="6:13" x14ac:dyDescent="0.3">
      <c r="F44" s="9"/>
      <c r="G44" s="11"/>
      <c r="H44" s="11"/>
      <c r="I44" s="11"/>
      <c r="J44" s="11"/>
      <c r="K44" s="12"/>
      <c r="L44" s="14"/>
      <c r="M44" s="11"/>
    </row>
    <row r="45" spans="6:13" x14ac:dyDescent="0.3">
      <c r="F45" s="9"/>
      <c r="G45" s="11"/>
      <c r="H45" s="11"/>
      <c r="I45" s="11"/>
      <c r="J45" s="11"/>
      <c r="K45" s="12"/>
    </row>
    <row r="46" spans="6:13" x14ac:dyDescent="0.3">
      <c r="F46" s="9"/>
      <c r="G46" s="11"/>
      <c r="H46" s="11"/>
      <c r="I46" s="11"/>
      <c r="J46" s="11"/>
      <c r="K46" s="12"/>
    </row>
    <row r="47" spans="6:13" x14ac:dyDescent="0.3">
      <c r="F47" s="9"/>
      <c r="G47" s="11"/>
      <c r="J47" s="11"/>
      <c r="K47" s="12"/>
    </row>
    <row r="48" spans="6:13" x14ac:dyDescent="0.3">
      <c r="F48" s="9"/>
      <c r="G48" s="11"/>
      <c r="J48" s="11"/>
      <c r="K48" s="12"/>
    </row>
    <row r="49" spans="2:13" x14ac:dyDescent="0.3">
      <c r="F49" s="9"/>
      <c r="G49" s="11"/>
      <c r="J49" s="11"/>
      <c r="K49" s="12"/>
    </row>
    <row r="50" spans="2:13" x14ac:dyDescent="0.3">
      <c r="F50" s="9"/>
      <c r="G50" s="11"/>
      <c r="J50" s="11"/>
      <c r="K50" s="12"/>
    </row>
    <row r="51" spans="2:13" x14ac:dyDescent="0.3">
      <c r="C51" s="16"/>
      <c r="F51" s="9"/>
      <c r="G51" s="11"/>
      <c r="H51" s="11"/>
      <c r="J51" s="11"/>
      <c r="K51" s="12"/>
      <c r="L51" s="14"/>
      <c r="M51" s="14"/>
    </row>
    <row r="52" spans="2:13" x14ac:dyDescent="0.3">
      <c r="C52" s="16"/>
      <c r="F52" s="9"/>
      <c r="G52" s="11"/>
      <c r="H52" s="11"/>
      <c r="J52" s="14"/>
      <c r="K52" s="14"/>
      <c r="L52" s="14"/>
      <c r="M52" s="14"/>
    </row>
    <row r="53" spans="2:13" x14ac:dyDescent="0.3">
      <c r="C53" s="16"/>
      <c r="F53" s="9"/>
      <c r="G53" s="11"/>
      <c r="H53" s="11"/>
      <c r="I53" s="14"/>
      <c r="J53" s="11"/>
      <c r="K53" s="12"/>
    </row>
    <row r="54" spans="2:13" x14ac:dyDescent="0.3">
      <c r="B54" s="16"/>
      <c r="C54" s="16"/>
      <c r="F54" s="9"/>
      <c r="G54" s="11"/>
      <c r="H54" s="11"/>
      <c r="I54" s="14"/>
      <c r="J54" s="11"/>
      <c r="K54" s="12"/>
    </row>
    <row r="55" spans="2:13" x14ac:dyDescent="0.3">
      <c r="B55" s="16"/>
      <c r="C55" s="16"/>
      <c r="F55" s="9"/>
      <c r="G55" s="11"/>
      <c r="H55" s="11"/>
      <c r="I55" s="14"/>
      <c r="J55" s="11"/>
      <c r="K55" s="12"/>
    </row>
    <row r="56" spans="2:13" x14ac:dyDescent="0.3">
      <c r="B56" s="16"/>
      <c r="C56" s="16"/>
      <c r="F56" s="9"/>
      <c r="G56" s="11"/>
      <c r="H56" s="11"/>
      <c r="I56" s="14"/>
      <c r="J56" s="11"/>
      <c r="K56" s="12"/>
    </row>
    <row r="57" spans="2:13" x14ac:dyDescent="0.3">
      <c r="B57" s="16"/>
      <c r="C57" s="16"/>
      <c r="F57" s="9"/>
      <c r="G57" s="11"/>
      <c r="H57" s="11"/>
      <c r="I57" s="14"/>
      <c r="J57" s="11"/>
      <c r="K57" s="12"/>
    </row>
    <row r="58" spans="2:13" x14ac:dyDescent="0.3">
      <c r="B58" s="16"/>
      <c r="C58" s="16"/>
      <c r="F58" s="9"/>
      <c r="G58" s="11"/>
      <c r="H58" s="11"/>
      <c r="I58" s="14"/>
      <c r="J58" s="11"/>
      <c r="K58" s="12"/>
    </row>
    <row r="59" spans="2:13" x14ac:dyDescent="0.3">
      <c r="B59" s="16"/>
      <c r="C59" s="16"/>
      <c r="F59" s="9"/>
      <c r="G59" s="11"/>
      <c r="H59" s="11"/>
      <c r="I59" s="14"/>
      <c r="J59" s="11"/>
      <c r="K59" s="12"/>
    </row>
    <row r="60" spans="2:13" x14ac:dyDescent="0.3">
      <c r="B60" s="16"/>
      <c r="C60" s="16"/>
      <c r="F60" s="9"/>
      <c r="G60" s="11"/>
      <c r="H60" s="11"/>
      <c r="I60" s="14"/>
      <c r="J60" s="11"/>
      <c r="K60" s="12"/>
    </row>
    <row r="61" spans="2:13" x14ac:dyDescent="0.3">
      <c r="B61" s="16"/>
      <c r="C61" s="16"/>
      <c r="F61" s="9"/>
      <c r="G61" s="11"/>
      <c r="H61" s="11"/>
      <c r="I61" s="14"/>
      <c r="J61" s="11"/>
      <c r="K61" s="12"/>
    </row>
    <row r="62" spans="2:13" x14ac:dyDescent="0.3">
      <c r="B62" s="16"/>
      <c r="C62" s="16"/>
      <c r="F62" s="9"/>
      <c r="G62" s="11"/>
      <c r="H62" s="11"/>
      <c r="I62" s="14"/>
      <c r="J62" s="11"/>
      <c r="K62" s="12"/>
    </row>
    <row r="63" spans="2:13" x14ac:dyDescent="0.3">
      <c r="B63" s="16"/>
      <c r="C63" s="16"/>
      <c r="F63" s="9"/>
      <c r="G63" s="11"/>
      <c r="H63" s="11"/>
      <c r="I63" s="14"/>
      <c r="J63" s="11"/>
      <c r="K63" s="12"/>
    </row>
    <row r="64" spans="2:13" x14ac:dyDescent="0.3">
      <c r="B64" s="16"/>
      <c r="C64" s="16"/>
      <c r="F64" s="9"/>
      <c r="G64" s="11"/>
      <c r="H64" s="11"/>
      <c r="I64" s="14"/>
      <c r="J64" s="11"/>
      <c r="K64" s="12"/>
    </row>
    <row r="65" spans="2:13" x14ac:dyDescent="0.3">
      <c r="B65" s="16"/>
      <c r="C65" s="16"/>
      <c r="F65" s="9"/>
      <c r="G65" s="11"/>
      <c r="H65" s="11"/>
      <c r="I65" s="14"/>
      <c r="J65" s="11"/>
      <c r="K65" s="12"/>
    </row>
    <row r="66" spans="2:13" x14ac:dyDescent="0.3">
      <c r="B66" s="16"/>
      <c r="C66" s="16"/>
      <c r="F66" s="9"/>
      <c r="G66" s="11"/>
      <c r="H66" s="11"/>
      <c r="I66" s="14"/>
      <c r="J66" s="11"/>
      <c r="K66" s="12"/>
    </row>
    <row r="67" spans="2:13" x14ac:dyDescent="0.3">
      <c r="B67" s="16"/>
      <c r="C67" s="16"/>
      <c r="F67" s="9"/>
      <c r="G67" s="11"/>
      <c r="H67" s="11"/>
      <c r="I67" s="14"/>
      <c r="J67" s="11"/>
      <c r="K67" s="12"/>
    </row>
    <row r="68" spans="2:13" x14ac:dyDescent="0.3">
      <c r="B68" s="16"/>
      <c r="F68" s="9"/>
      <c r="G68" s="11"/>
      <c r="H68" s="11"/>
      <c r="I68" s="14"/>
      <c r="J68" s="11"/>
      <c r="K68" s="12"/>
    </row>
    <row r="69" spans="2:13" x14ac:dyDescent="0.3">
      <c r="B69" s="16"/>
      <c r="F69" s="9"/>
      <c r="G69" s="11"/>
      <c r="H69" s="11"/>
      <c r="I69" s="14"/>
      <c r="J69" s="11"/>
      <c r="K69" s="12"/>
    </row>
    <row r="70" spans="2:13" x14ac:dyDescent="0.3">
      <c r="B70" s="16"/>
      <c r="F70" s="9"/>
      <c r="G70" s="11"/>
      <c r="H70" s="11"/>
      <c r="I70" s="14"/>
      <c r="J70" s="11"/>
      <c r="K70" s="12"/>
    </row>
    <row r="71" spans="2:13" x14ac:dyDescent="0.3">
      <c r="F71" s="9"/>
      <c r="G71" s="11"/>
      <c r="H71" s="11"/>
      <c r="I71" s="11"/>
      <c r="L71" s="14"/>
      <c r="M71" s="11"/>
    </row>
    <row r="72" spans="2:13" x14ac:dyDescent="0.3">
      <c r="F72" s="9"/>
      <c r="G72" s="11"/>
      <c r="H72" s="11"/>
      <c r="I72" s="11"/>
      <c r="L72" s="14"/>
      <c r="M72" s="11"/>
    </row>
    <row r="73" spans="2:13" x14ac:dyDescent="0.3">
      <c r="F73" s="9"/>
      <c r="G73" s="11"/>
      <c r="H73" s="11"/>
      <c r="I73" s="11"/>
      <c r="L73" s="14"/>
      <c r="M73" s="11"/>
    </row>
    <row r="74" spans="2:13" x14ac:dyDescent="0.3">
      <c r="F74" s="9"/>
      <c r="G74" s="11"/>
      <c r="H74" s="11"/>
      <c r="I74" s="11"/>
      <c r="L74" s="14"/>
      <c r="M74" s="11"/>
    </row>
    <row r="75" spans="2:13" x14ac:dyDescent="0.3">
      <c r="F75" s="9"/>
    </row>
    <row r="76" spans="2:13" x14ac:dyDescent="0.3">
      <c r="F76" s="9"/>
      <c r="L76" s="14"/>
      <c r="M76" s="11"/>
    </row>
    <row r="77" spans="2:13" x14ac:dyDescent="0.3">
      <c r="F77" s="9"/>
      <c r="L77" s="14"/>
      <c r="M77" s="11"/>
    </row>
  </sheetData>
  <autoFilter ref="A1:M16" xr:uid="{00000000-0009-0000-0000-000001000000}"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7" tint="0.59999389629810485"/>
  </sheetPr>
  <dimension ref="A1:I10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defaultColWidth="9.1796875" defaultRowHeight="14.5" x14ac:dyDescent="0.35"/>
  <cols>
    <col min="1" max="1" width="20.7265625" bestFit="1" customWidth="1"/>
    <col min="2" max="2" width="36.1796875" bestFit="1" customWidth="1"/>
    <col min="3" max="6" width="10.7265625" style="44" customWidth="1"/>
    <col min="7" max="8" width="9.1796875" customWidth="1"/>
  </cols>
  <sheetData>
    <row r="1" spans="1:9" s="39" customFormat="1" ht="29" x14ac:dyDescent="0.35">
      <c r="A1" s="40" t="s">
        <v>75</v>
      </c>
      <c r="B1" s="40" t="s">
        <v>50</v>
      </c>
      <c r="C1" s="41" t="s">
        <v>76</v>
      </c>
      <c r="D1" s="41" t="s">
        <v>77</v>
      </c>
      <c r="E1" s="41" t="s">
        <v>78</v>
      </c>
      <c r="F1" s="41" t="s">
        <v>79</v>
      </c>
    </row>
    <row r="2" spans="1:9" s="70" customFormat="1" x14ac:dyDescent="0.35">
      <c r="A2" s="67" t="s">
        <v>21</v>
      </c>
      <c r="B2" s="69" t="s">
        <v>34</v>
      </c>
      <c r="C2" s="42">
        <v>0</v>
      </c>
      <c r="D2" s="42">
        <v>0</v>
      </c>
      <c r="E2" s="42">
        <v>0</v>
      </c>
      <c r="F2" s="43">
        <v>3813878</v>
      </c>
      <c r="I2" s="83"/>
    </row>
    <row r="3" spans="1:9" s="70" customFormat="1" ht="29" x14ac:dyDescent="0.35">
      <c r="A3" s="67" t="s">
        <v>22</v>
      </c>
      <c r="B3" s="69" t="s">
        <v>35</v>
      </c>
      <c r="C3" s="43">
        <v>0</v>
      </c>
      <c r="D3" s="43">
        <v>0</v>
      </c>
      <c r="E3" s="43">
        <v>0</v>
      </c>
      <c r="F3" s="43">
        <v>3813878</v>
      </c>
    </row>
    <row r="4" spans="1:9" s="70" customFormat="1" x14ac:dyDescent="0.35">
      <c r="A4" s="67" t="s">
        <v>23</v>
      </c>
      <c r="B4" s="69" t="s">
        <v>36</v>
      </c>
      <c r="C4" s="43">
        <v>0</v>
      </c>
      <c r="D4" s="43">
        <v>0</v>
      </c>
      <c r="E4" s="43">
        <v>0</v>
      </c>
      <c r="F4" s="43">
        <v>3813878</v>
      </c>
    </row>
    <row r="5" spans="1:9" s="70" customFormat="1" x14ac:dyDescent="0.35">
      <c r="A5" s="67" t="s">
        <v>24</v>
      </c>
      <c r="B5" s="69" t="s">
        <v>37</v>
      </c>
      <c r="C5" s="43">
        <v>0</v>
      </c>
      <c r="D5" s="43">
        <v>0</v>
      </c>
      <c r="E5" s="43">
        <v>0</v>
      </c>
      <c r="F5" s="43">
        <v>3813878</v>
      </c>
    </row>
    <row r="6" spans="1:9" s="70" customFormat="1" x14ac:dyDescent="0.35">
      <c r="A6" s="68" t="s">
        <v>41</v>
      </c>
      <c r="B6" s="69" t="s">
        <v>45</v>
      </c>
      <c r="C6" s="43">
        <v>0</v>
      </c>
      <c r="D6" s="43">
        <v>0</v>
      </c>
      <c r="E6" s="43">
        <v>0</v>
      </c>
      <c r="F6" s="43">
        <v>3813878</v>
      </c>
    </row>
    <row r="7" spans="1:9" s="70" customFormat="1" x14ac:dyDescent="0.35">
      <c r="A7" s="68" t="s">
        <v>25</v>
      </c>
      <c r="B7" s="69" t="s">
        <v>38</v>
      </c>
      <c r="C7" s="43">
        <v>0</v>
      </c>
      <c r="D7" s="43">
        <v>0</v>
      </c>
      <c r="E7" s="43">
        <v>0</v>
      </c>
      <c r="F7" s="43">
        <v>3813878</v>
      </c>
    </row>
    <row r="8" spans="1:9" s="70" customFormat="1" ht="87" x14ac:dyDescent="0.35">
      <c r="A8" s="68" t="s">
        <v>42</v>
      </c>
      <c r="B8" s="69" t="s">
        <v>46</v>
      </c>
      <c r="C8" s="43">
        <v>3773487</v>
      </c>
      <c r="D8" s="43">
        <v>0</v>
      </c>
      <c r="E8" s="43">
        <v>0</v>
      </c>
      <c r="F8" s="43">
        <v>40391</v>
      </c>
    </row>
    <row r="9" spans="1:9" s="70" customFormat="1" ht="29" x14ac:dyDescent="0.35">
      <c r="A9" s="68" t="s">
        <v>43</v>
      </c>
      <c r="B9" s="69" t="s">
        <v>47</v>
      </c>
      <c r="C9" s="43">
        <v>0</v>
      </c>
      <c r="D9" s="43">
        <v>0</v>
      </c>
      <c r="E9" s="43">
        <v>0</v>
      </c>
      <c r="F9" s="43">
        <v>3813878</v>
      </c>
    </row>
    <row r="10" spans="1:9" s="70" customFormat="1" x14ac:dyDescent="0.35">
      <c r="A10" s="68" t="s">
        <v>44</v>
      </c>
      <c r="B10" s="69" t="s">
        <v>48</v>
      </c>
      <c r="C10" s="43">
        <v>0</v>
      </c>
      <c r="D10" s="43">
        <v>0</v>
      </c>
      <c r="E10" s="43">
        <v>0</v>
      </c>
      <c r="F10" s="43">
        <v>3813878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 tint="0.59999389629810485"/>
  </sheetPr>
  <dimension ref="A1:H262"/>
  <sheetViews>
    <sheetView workbookViewId="0">
      <pane ySplit="1" topLeftCell="A2" activePane="bottomLeft" state="frozen"/>
      <selection pane="bottomLeft" activeCell="A2" sqref="A2"/>
    </sheetView>
  </sheetViews>
  <sheetFormatPr defaultColWidth="8.81640625" defaultRowHeight="16.5" x14ac:dyDescent="0.35"/>
  <cols>
    <col min="1" max="1" width="48.1796875" style="60" customWidth="1"/>
    <col min="2" max="2" width="13.54296875" style="58" customWidth="1"/>
    <col min="3" max="3" width="13.54296875" style="59" customWidth="1"/>
    <col min="4" max="4" width="13.54296875" style="58" customWidth="1"/>
    <col min="5" max="5" width="13.54296875" style="59" customWidth="1"/>
    <col min="6" max="6" width="1.7265625" style="82" bestFit="1" customWidth="1"/>
    <col min="7" max="7" width="12.7265625" customWidth="1"/>
  </cols>
  <sheetData>
    <row r="1" spans="1:6" s="39" customFormat="1" ht="29" x14ac:dyDescent="0.35">
      <c r="A1" s="45" t="s">
        <v>80</v>
      </c>
      <c r="B1" s="46" t="s">
        <v>81</v>
      </c>
      <c r="C1" s="47" t="s">
        <v>82</v>
      </c>
      <c r="D1" s="46" t="s">
        <v>83</v>
      </c>
      <c r="E1" s="76" t="s">
        <v>84</v>
      </c>
      <c r="F1" s="72"/>
    </row>
    <row r="2" spans="1:6" s="52" customFormat="1" x14ac:dyDescent="0.35">
      <c r="A2" s="48" t="s">
        <v>26</v>
      </c>
      <c r="B2" s="49"/>
      <c r="C2" s="50"/>
      <c r="D2" s="51"/>
      <c r="E2" s="77"/>
      <c r="F2" s="73"/>
    </row>
    <row r="3" spans="1:6" s="52" customFormat="1" x14ac:dyDescent="0.35">
      <c r="A3" s="53" t="s">
        <v>106</v>
      </c>
      <c r="B3" s="49">
        <v>7040</v>
      </c>
      <c r="C3" s="50">
        <v>0.18458901936559061</v>
      </c>
      <c r="D3" s="49">
        <v>7040</v>
      </c>
      <c r="E3" s="77">
        <v>0.18458901936559061</v>
      </c>
      <c r="F3" s="75" t="s">
        <v>139</v>
      </c>
    </row>
    <row r="4" spans="1:6" s="52" customFormat="1" x14ac:dyDescent="0.35">
      <c r="A4" s="53" t="s">
        <v>92</v>
      </c>
      <c r="B4" s="49">
        <v>260192</v>
      </c>
      <c r="C4" s="50">
        <v>6.8222423475528053</v>
      </c>
      <c r="D4" s="49">
        <v>267232</v>
      </c>
      <c r="E4" s="77">
        <v>7.0068313669183961</v>
      </c>
      <c r="F4" s="75" t="s">
        <v>139</v>
      </c>
    </row>
    <row r="5" spans="1:6" s="52" customFormat="1" x14ac:dyDescent="0.35">
      <c r="A5" s="53" t="s">
        <v>101</v>
      </c>
      <c r="B5" s="49">
        <v>224928</v>
      </c>
      <c r="C5" s="50">
        <v>5.8976191687306203</v>
      </c>
      <c r="D5" s="49">
        <v>492160</v>
      </c>
      <c r="E5" s="77">
        <v>12.904450535649017</v>
      </c>
      <c r="F5" s="75" t="s">
        <v>139</v>
      </c>
    </row>
    <row r="6" spans="1:6" s="52" customFormat="1" x14ac:dyDescent="0.35">
      <c r="A6" s="53" t="s">
        <v>102</v>
      </c>
      <c r="B6" s="49">
        <v>224512</v>
      </c>
      <c r="C6" s="50">
        <v>5.8867116357681075</v>
      </c>
      <c r="D6" s="49">
        <v>716672</v>
      </c>
      <c r="E6" s="77">
        <v>18.791162171417124</v>
      </c>
      <c r="F6" s="75" t="s">
        <v>139</v>
      </c>
    </row>
    <row r="7" spans="1:6" s="52" customFormat="1" x14ac:dyDescent="0.35">
      <c r="A7" s="53" t="s">
        <v>103</v>
      </c>
      <c r="B7" s="49">
        <v>224160</v>
      </c>
      <c r="C7" s="50">
        <v>5.8774821847998284</v>
      </c>
      <c r="D7" s="49">
        <v>940832</v>
      </c>
      <c r="E7" s="77">
        <v>24.668644356216955</v>
      </c>
      <c r="F7" s="75" t="s">
        <v>139</v>
      </c>
    </row>
    <row r="8" spans="1:6" s="52" customFormat="1" x14ac:dyDescent="0.35">
      <c r="A8" s="53" t="s">
        <v>104</v>
      </c>
      <c r="B8" s="49">
        <v>1664</v>
      </c>
      <c r="C8" s="50" t="s">
        <v>160</v>
      </c>
      <c r="D8" s="49">
        <v>942496</v>
      </c>
      <c r="E8" s="77">
        <v>24.712274488067003</v>
      </c>
      <c r="F8" s="75" t="s">
        <v>139</v>
      </c>
    </row>
    <row r="9" spans="1:6" s="52" customFormat="1" x14ac:dyDescent="0.35">
      <c r="A9" s="53" t="s">
        <v>93</v>
      </c>
      <c r="B9" s="49">
        <v>259984</v>
      </c>
      <c r="C9" s="50">
        <v>6.8167885810715489</v>
      </c>
      <c r="D9" s="49">
        <v>1202480</v>
      </c>
      <c r="E9" s="77">
        <v>31.529063069138552</v>
      </c>
      <c r="F9" s="75" t="s">
        <v>139</v>
      </c>
    </row>
    <row r="10" spans="1:6" s="52" customFormat="1" x14ac:dyDescent="0.35">
      <c r="A10" s="53" t="s">
        <v>94</v>
      </c>
      <c r="B10" s="49">
        <v>259776</v>
      </c>
      <c r="C10" s="50">
        <v>6.8113348145902934</v>
      </c>
      <c r="D10" s="49">
        <v>1462256</v>
      </c>
      <c r="E10" s="77">
        <v>38.340397883728841</v>
      </c>
      <c r="F10" s="75" t="s">
        <v>139</v>
      </c>
    </row>
    <row r="11" spans="1:6" s="52" customFormat="1" x14ac:dyDescent="0.35">
      <c r="A11" s="53" t="s">
        <v>95</v>
      </c>
      <c r="B11" s="49">
        <v>259696</v>
      </c>
      <c r="C11" s="50">
        <v>6.8092372120975035</v>
      </c>
      <c r="D11" s="49">
        <v>1721952</v>
      </c>
      <c r="E11" s="77">
        <v>45.149635095826348</v>
      </c>
      <c r="F11" s="75" t="s">
        <v>139</v>
      </c>
    </row>
    <row r="12" spans="1:6" s="52" customFormat="1" x14ac:dyDescent="0.35">
      <c r="A12" s="53" t="s">
        <v>96</v>
      </c>
      <c r="B12" s="49">
        <v>260592</v>
      </c>
      <c r="C12" s="50">
        <v>6.8327303600167602</v>
      </c>
      <c r="D12" s="49">
        <v>1982544</v>
      </c>
      <c r="E12" s="77">
        <v>51.982365455843102</v>
      </c>
      <c r="F12" s="75" t="s">
        <v>139</v>
      </c>
    </row>
    <row r="13" spans="1:6" s="52" customFormat="1" x14ac:dyDescent="0.35">
      <c r="A13" s="53" t="s">
        <v>97</v>
      </c>
      <c r="B13" s="49">
        <v>262880</v>
      </c>
      <c r="C13" s="50">
        <v>6.8927217913105769</v>
      </c>
      <c r="D13" s="49">
        <v>2245424</v>
      </c>
      <c r="E13" s="77">
        <v>58.875087247153679</v>
      </c>
      <c r="F13" s="75" t="s">
        <v>139</v>
      </c>
    </row>
    <row r="14" spans="1:6" s="52" customFormat="1" x14ac:dyDescent="0.35">
      <c r="A14" s="53" t="s">
        <v>98</v>
      </c>
      <c r="B14" s="49">
        <v>258608</v>
      </c>
      <c r="C14" s="50">
        <v>6.7807098181955476</v>
      </c>
      <c r="D14" s="49">
        <v>2504032</v>
      </c>
      <c r="E14" s="77">
        <v>65.655797065349233</v>
      </c>
      <c r="F14" s="75" t="s">
        <v>139</v>
      </c>
    </row>
    <row r="15" spans="1:6" s="52" customFormat="1" x14ac:dyDescent="0.35">
      <c r="A15" s="53" t="s">
        <v>99</v>
      </c>
      <c r="B15" s="49">
        <v>258592</v>
      </c>
      <c r="C15" s="50">
        <v>6.7802902976969897</v>
      </c>
      <c r="D15" s="49">
        <v>2762624</v>
      </c>
      <c r="E15" s="77">
        <v>72.436087363046227</v>
      </c>
      <c r="F15" s="75" t="s">
        <v>139</v>
      </c>
    </row>
    <row r="16" spans="1:6" s="52" customFormat="1" x14ac:dyDescent="0.35">
      <c r="A16" s="53" t="s">
        <v>100</v>
      </c>
      <c r="B16" s="49">
        <v>225072</v>
      </c>
      <c r="C16" s="50">
        <v>5.9013948532176439</v>
      </c>
      <c r="D16" s="49">
        <v>2987696</v>
      </c>
      <c r="E16" s="77">
        <v>78.337482216263865</v>
      </c>
      <c r="F16" s="75" t="s">
        <v>139</v>
      </c>
    </row>
    <row r="17" spans="1:6" s="52" customFormat="1" x14ac:dyDescent="0.35">
      <c r="A17" s="53" t="s">
        <v>91</v>
      </c>
      <c r="B17" s="49">
        <v>259808</v>
      </c>
      <c r="C17" s="50">
        <v>6.8121738555874094</v>
      </c>
      <c r="D17" s="49">
        <v>3247504</v>
      </c>
      <c r="E17" s="77">
        <v>85.149656071851282</v>
      </c>
      <c r="F17" s="75" t="s">
        <v>139</v>
      </c>
    </row>
    <row r="18" spans="1:6" s="52" customFormat="1" x14ac:dyDescent="0.35">
      <c r="A18" s="53" t="s">
        <v>85</v>
      </c>
      <c r="B18" s="49">
        <v>315282</v>
      </c>
      <c r="C18" s="50">
        <v>8.2667038641508714</v>
      </c>
      <c r="D18" s="49">
        <v>3562786</v>
      </c>
      <c r="E18" s="77">
        <v>93.416359936002152</v>
      </c>
      <c r="F18" s="75" t="s">
        <v>139</v>
      </c>
    </row>
    <row r="19" spans="1:6" s="52" customFormat="1" x14ac:dyDescent="0.35">
      <c r="A19" s="53" t="s">
        <v>107</v>
      </c>
      <c r="B19" s="49">
        <v>37092</v>
      </c>
      <c r="C19" s="50">
        <v>0.97255339578245559</v>
      </c>
      <c r="D19" s="49">
        <v>3599878</v>
      </c>
      <c r="E19" s="77">
        <v>94.388913331784607</v>
      </c>
      <c r="F19" s="75" t="s">
        <v>139</v>
      </c>
    </row>
    <row r="20" spans="1:6" s="52" customFormat="1" x14ac:dyDescent="0.35">
      <c r="A20" s="53" t="s">
        <v>90</v>
      </c>
      <c r="B20" s="49">
        <v>182800</v>
      </c>
      <c r="C20" s="50">
        <v>4.7930216960269831</v>
      </c>
      <c r="D20" s="49">
        <v>3782678</v>
      </c>
      <c r="E20" s="77">
        <v>99.181935027811591</v>
      </c>
      <c r="F20" s="75" t="s">
        <v>139</v>
      </c>
    </row>
    <row r="21" spans="1:6" s="52" customFormat="1" x14ac:dyDescent="0.35">
      <c r="A21" s="53" t="s">
        <v>105</v>
      </c>
      <c r="B21" s="49">
        <v>31200</v>
      </c>
      <c r="C21" s="50">
        <v>0.8180649721884129</v>
      </c>
      <c r="D21" s="49">
        <v>3813878</v>
      </c>
      <c r="E21" s="77">
        <v>100</v>
      </c>
      <c r="F21" s="75" t="s">
        <v>139</v>
      </c>
    </row>
    <row r="22" spans="1:6" s="52" customFormat="1" x14ac:dyDescent="0.35">
      <c r="A22" s="53"/>
      <c r="B22" s="49"/>
      <c r="C22" s="50"/>
      <c r="D22" s="49"/>
      <c r="E22" s="77"/>
      <c r="F22" s="75"/>
    </row>
    <row r="23" spans="1:6" s="52" customFormat="1" x14ac:dyDescent="0.35">
      <c r="A23" s="48" t="s">
        <v>27</v>
      </c>
      <c r="B23" s="49"/>
      <c r="C23" s="50"/>
      <c r="D23" s="51"/>
      <c r="E23" s="77"/>
      <c r="F23" s="75"/>
    </row>
    <row r="24" spans="1:6" s="52" customFormat="1" x14ac:dyDescent="0.35">
      <c r="A24" s="53" t="s">
        <v>108</v>
      </c>
      <c r="B24" s="49">
        <v>469780</v>
      </c>
      <c r="C24" s="50">
        <v>12.31764623829079</v>
      </c>
      <c r="D24" s="49">
        <v>469780</v>
      </c>
      <c r="E24" s="77">
        <v>12.31764623829079</v>
      </c>
      <c r="F24" s="75" t="s">
        <v>139</v>
      </c>
    </row>
    <row r="25" spans="1:6" s="52" customFormat="1" x14ac:dyDescent="0.35">
      <c r="A25" s="53" t="s">
        <v>109</v>
      </c>
      <c r="B25" s="49">
        <v>469780</v>
      </c>
      <c r="C25" s="50">
        <v>12.31764623829079</v>
      </c>
      <c r="D25" s="49">
        <v>939560</v>
      </c>
      <c r="E25" s="77">
        <v>24.635292476581579</v>
      </c>
      <c r="F25" s="75" t="s">
        <v>139</v>
      </c>
    </row>
    <row r="26" spans="1:6" s="52" customFormat="1" x14ac:dyDescent="0.35">
      <c r="A26" s="53" t="s">
        <v>110</v>
      </c>
      <c r="B26" s="49">
        <v>469780</v>
      </c>
      <c r="C26" s="50">
        <v>12.31764623829079</v>
      </c>
      <c r="D26" s="49">
        <v>1409340</v>
      </c>
      <c r="E26" s="77">
        <v>36.952938714872367</v>
      </c>
      <c r="F26" s="75" t="s">
        <v>139</v>
      </c>
    </row>
    <row r="27" spans="1:6" s="52" customFormat="1" x14ac:dyDescent="0.35">
      <c r="A27" s="53" t="s">
        <v>111</v>
      </c>
      <c r="B27" s="49">
        <v>469780</v>
      </c>
      <c r="C27" s="50">
        <v>12.31764623829079</v>
      </c>
      <c r="D27" s="49">
        <v>1879120</v>
      </c>
      <c r="E27" s="77">
        <v>49.270584953163159</v>
      </c>
      <c r="F27" s="75" t="s">
        <v>139</v>
      </c>
    </row>
    <row r="28" spans="1:6" s="52" customFormat="1" x14ac:dyDescent="0.35">
      <c r="A28" s="53" t="s">
        <v>112</v>
      </c>
      <c r="B28" s="49">
        <v>469780</v>
      </c>
      <c r="C28" s="50">
        <v>12.31764623829079</v>
      </c>
      <c r="D28" s="49">
        <v>2348900</v>
      </c>
      <c r="E28" s="77">
        <v>61.588231191453943</v>
      </c>
      <c r="F28" s="75" t="s">
        <v>139</v>
      </c>
    </row>
    <row r="29" spans="1:6" s="52" customFormat="1" x14ac:dyDescent="0.35">
      <c r="A29" s="53" t="s">
        <v>85</v>
      </c>
      <c r="B29" s="49">
        <v>253436</v>
      </c>
      <c r="C29" s="50">
        <v>6.6450998170366233</v>
      </c>
      <c r="D29" s="49">
        <v>2602336</v>
      </c>
      <c r="E29" s="77">
        <v>68.233331008490566</v>
      </c>
      <c r="F29" s="75" t="s">
        <v>139</v>
      </c>
    </row>
    <row r="30" spans="1:6" s="52" customFormat="1" x14ac:dyDescent="0.35">
      <c r="A30" s="53" t="s">
        <v>107</v>
      </c>
      <c r="B30" s="49">
        <v>271982</v>
      </c>
      <c r="C30" s="50">
        <v>7.131376514927851</v>
      </c>
      <c r="D30" s="49">
        <v>2874318</v>
      </c>
      <c r="E30" s="77">
        <v>75.364707523418417</v>
      </c>
      <c r="F30" s="75" t="s">
        <v>139</v>
      </c>
    </row>
    <row r="31" spans="1:6" s="52" customFormat="1" x14ac:dyDescent="0.35">
      <c r="A31" s="53" t="s">
        <v>113</v>
      </c>
      <c r="B31" s="49">
        <v>469780</v>
      </c>
      <c r="C31" s="50">
        <v>12.31764623829079</v>
      </c>
      <c r="D31" s="49">
        <v>3344098</v>
      </c>
      <c r="E31" s="77">
        <v>87.682353761709209</v>
      </c>
      <c r="F31" s="75" t="s">
        <v>139</v>
      </c>
    </row>
    <row r="32" spans="1:6" s="52" customFormat="1" x14ac:dyDescent="0.35">
      <c r="A32" s="53" t="s">
        <v>114</v>
      </c>
      <c r="B32" s="49">
        <v>469780</v>
      </c>
      <c r="C32" s="50">
        <v>12.31764623829079</v>
      </c>
      <c r="D32" s="49">
        <v>3813878</v>
      </c>
      <c r="E32" s="77">
        <v>100</v>
      </c>
      <c r="F32" s="75" t="s">
        <v>139</v>
      </c>
    </row>
    <row r="33" spans="1:8" s="52" customFormat="1" x14ac:dyDescent="0.35">
      <c r="A33" s="67"/>
      <c r="B33" s="49"/>
      <c r="C33" s="50"/>
      <c r="D33" s="49"/>
      <c r="E33" s="77"/>
      <c r="F33" s="75"/>
    </row>
    <row r="34" spans="1:8" s="52" customFormat="1" x14ac:dyDescent="0.35">
      <c r="A34" s="48" t="s">
        <v>28</v>
      </c>
      <c r="B34" s="49"/>
      <c r="C34" s="50"/>
      <c r="D34" s="51"/>
      <c r="E34" s="77"/>
      <c r="F34" s="75"/>
    </row>
    <row r="35" spans="1:8" s="52" customFormat="1" x14ac:dyDescent="0.35">
      <c r="A35" s="53" t="s">
        <v>115</v>
      </c>
      <c r="B35" s="49">
        <v>1644230</v>
      </c>
      <c r="C35" s="50">
        <v>43.111761834017763</v>
      </c>
      <c r="D35" s="49">
        <v>1644230</v>
      </c>
      <c r="E35" s="77">
        <v>43.111761834017763</v>
      </c>
      <c r="F35" s="75" t="s">
        <v>139</v>
      </c>
    </row>
    <row r="36" spans="1:8" s="52" customFormat="1" x14ac:dyDescent="0.35">
      <c r="A36" s="53" t="s">
        <v>116</v>
      </c>
      <c r="B36" s="49">
        <v>1644230</v>
      </c>
      <c r="C36" s="50">
        <v>43.111761834017763</v>
      </c>
      <c r="D36" s="49">
        <v>3288460</v>
      </c>
      <c r="E36" s="77">
        <v>86.223523668035526</v>
      </c>
      <c r="F36" s="75" t="s">
        <v>139</v>
      </c>
    </row>
    <row r="37" spans="1:8" s="52" customFormat="1" x14ac:dyDescent="0.35">
      <c r="A37" s="53" t="s">
        <v>85</v>
      </c>
      <c r="B37" s="49">
        <v>253436</v>
      </c>
      <c r="C37" s="50">
        <v>6.6450998170366233</v>
      </c>
      <c r="D37" s="49">
        <v>3541896</v>
      </c>
      <c r="E37" s="77">
        <v>92.868623485072149</v>
      </c>
      <c r="F37" s="75" t="s">
        <v>139</v>
      </c>
    </row>
    <row r="38" spans="1:8" s="52" customFormat="1" x14ac:dyDescent="0.35">
      <c r="A38" s="53" t="s">
        <v>107</v>
      </c>
      <c r="B38" s="49">
        <v>271982</v>
      </c>
      <c r="C38" s="50">
        <v>7.131376514927851</v>
      </c>
      <c r="D38" s="49">
        <v>3813878</v>
      </c>
      <c r="E38" s="77">
        <v>100</v>
      </c>
      <c r="F38" s="75" t="s">
        <v>139</v>
      </c>
    </row>
    <row r="39" spans="1:8" s="52" customFormat="1" x14ac:dyDescent="0.35">
      <c r="A39" s="53"/>
      <c r="B39" s="49"/>
      <c r="C39" s="50"/>
      <c r="D39" s="49"/>
      <c r="E39" s="77"/>
      <c r="F39" s="75"/>
    </row>
    <row r="40" spans="1:8" s="52" customFormat="1" x14ac:dyDescent="0.35">
      <c r="A40" s="48" t="s">
        <v>30</v>
      </c>
      <c r="B40" s="49"/>
      <c r="C40" s="50"/>
      <c r="D40" s="51"/>
      <c r="E40" s="77"/>
      <c r="F40" s="75"/>
    </row>
    <row r="41" spans="1:8" s="52" customFormat="1" x14ac:dyDescent="0.35">
      <c r="A41" s="53" t="s">
        <v>121</v>
      </c>
      <c r="B41" s="49">
        <v>3263706</v>
      </c>
      <c r="C41" s="50">
        <v>85.574473016703735</v>
      </c>
      <c r="D41" s="49">
        <v>3263706</v>
      </c>
      <c r="E41" s="77">
        <v>85.574473016703735</v>
      </c>
      <c r="F41" s="75" t="s">
        <v>139</v>
      </c>
    </row>
    <row r="42" spans="1:8" s="52" customFormat="1" ht="29" x14ac:dyDescent="0.35">
      <c r="A42" s="53" t="s">
        <v>117</v>
      </c>
      <c r="B42" s="49">
        <v>18546</v>
      </c>
      <c r="C42" s="50">
        <v>0.48627669789122779</v>
      </c>
      <c r="D42" s="49">
        <v>3282252</v>
      </c>
      <c r="E42" s="77">
        <v>86.060749714594962</v>
      </c>
      <c r="F42" s="75" t="s">
        <v>139</v>
      </c>
    </row>
    <row r="43" spans="1:8" s="52" customFormat="1" ht="29" x14ac:dyDescent="0.35">
      <c r="A43" s="53" t="s">
        <v>118</v>
      </c>
      <c r="B43" s="49">
        <v>278190</v>
      </c>
      <c r="C43" s="50">
        <v>7.2941504683684171</v>
      </c>
      <c r="D43" s="49">
        <v>3560442</v>
      </c>
      <c r="E43" s="77">
        <v>93.354900182963377</v>
      </c>
      <c r="F43" s="75" t="s">
        <v>139</v>
      </c>
    </row>
    <row r="44" spans="1:8" s="52" customFormat="1" x14ac:dyDescent="0.35">
      <c r="A44" s="53" t="s">
        <v>86</v>
      </c>
      <c r="B44" s="49">
        <v>18546</v>
      </c>
      <c r="C44" s="50">
        <v>0.48627669789122779</v>
      </c>
      <c r="D44" s="49">
        <v>3578988</v>
      </c>
      <c r="E44" s="77">
        <v>93.841176880854604</v>
      </c>
      <c r="F44" s="75" t="s">
        <v>139</v>
      </c>
    </row>
    <row r="45" spans="1:8" x14ac:dyDescent="0.35">
      <c r="A45" s="53" t="s">
        <v>119</v>
      </c>
      <c r="B45" s="49">
        <v>234890</v>
      </c>
      <c r="C45" s="50">
        <v>6.1588231191453948</v>
      </c>
      <c r="D45" s="49">
        <v>3813878</v>
      </c>
      <c r="E45" s="77">
        <v>100</v>
      </c>
      <c r="F45" s="75" t="s">
        <v>139</v>
      </c>
    </row>
    <row r="46" spans="1:8" x14ac:dyDescent="0.35">
      <c r="A46" s="53"/>
      <c r="B46" s="49"/>
      <c r="C46" s="50"/>
      <c r="D46" s="49"/>
      <c r="E46" s="77"/>
      <c r="F46" s="75"/>
    </row>
    <row r="47" spans="1:8" s="25" customFormat="1" x14ac:dyDescent="0.35">
      <c r="A47" s="48" t="s">
        <v>31</v>
      </c>
      <c r="B47" s="49"/>
      <c r="C47" s="50"/>
      <c r="D47" s="51"/>
      <c r="E47" s="77"/>
      <c r="F47" s="75"/>
      <c r="G47" s="70"/>
      <c r="H47" s="70"/>
    </row>
    <row r="48" spans="1:8" s="25" customFormat="1" x14ac:dyDescent="0.35">
      <c r="A48" s="53" t="s">
        <v>87</v>
      </c>
      <c r="B48" s="49">
        <v>548452</v>
      </c>
      <c r="C48" s="50">
        <v>14.380428529701264</v>
      </c>
      <c r="D48" s="49">
        <v>548452</v>
      </c>
      <c r="E48" s="77">
        <v>14.380428529701264</v>
      </c>
      <c r="F48" s="75" t="s">
        <v>139</v>
      </c>
      <c r="G48" s="70"/>
      <c r="H48" s="70"/>
    </row>
    <row r="49" spans="1:8" s="25" customFormat="1" x14ac:dyDescent="0.35">
      <c r="A49" s="53" t="s">
        <v>142</v>
      </c>
      <c r="B49" s="49">
        <v>0</v>
      </c>
      <c r="C49" s="49">
        <v>0</v>
      </c>
      <c r="D49" s="49">
        <v>548452</v>
      </c>
      <c r="E49" s="77">
        <v>14.380428529701264</v>
      </c>
      <c r="F49" s="75" t="s">
        <v>139</v>
      </c>
      <c r="G49" s="70"/>
      <c r="H49" s="70"/>
    </row>
    <row r="50" spans="1:8" x14ac:dyDescent="0.35">
      <c r="A50" s="53" t="s">
        <v>137</v>
      </c>
      <c r="B50" s="49">
        <v>741749</v>
      </c>
      <c r="C50" s="50">
        <v>19.448681892813561</v>
      </c>
      <c r="D50" s="49">
        <v>1290201</v>
      </c>
      <c r="E50" s="77">
        <v>33.829110422514823</v>
      </c>
      <c r="F50" s="75" t="s">
        <v>139</v>
      </c>
    </row>
    <row r="51" spans="1:8" x14ac:dyDescent="0.35">
      <c r="A51" s="53" t="s">
        <v>77</v>
      </c>
      <c r="B51" s="49">
        <v>5070</v>
      </c>
      <c r="C51" s="50">
        <v>0.13293555798061713</v>
      </c>
      <c r="D51" s="49">
        <v>1295271</v>
      </c>
      <c r="E51" s="77">
        <v>33.962045980495439</v>
      </c>
      <c r="F51" s="75" t="s">
        <v>139</v>
      </c>
    </row>
    <row r="52" spans="1:8" x14ac:dyDescent="0.35">
      <c r="A52" s="53" t="s">
        <v>143</v>
      </c>
      <c r="B52" s="49">
        <v>0</v>
      </c>
      <c r="C52" s="49">
        <v>0</v>
      </c>
      <c r="D52" s="49">
        <v>1295271</v>
      </c>
      <c r="E52" s="77">
        <v>33.962045980495439</v>
      </c>
      <c r="F52" s="75" t="s">
        <v>139</v>
      </c>
    </row>
    <row r="53" spans="1:8" x14ac:dyDescent="0.35">
      <c r="A53" s="53" t="s">
        <v>88</v>
      </c>
      <c r="B53" s="49">
        <v>30500</v>
      </c>
      <c r="C53" s="50">
        <v>0.79971095037649342</v>
      </c>
      <c r="D53" s="49">
        <v>1325771</v>
      </c>
      <c r="E53" s="77">
        <v>34.761756930871933</v>
      </c>
      <c r="F53" s="75" t="s">
        <v>139</v>
      </c>
    </row>
    <row r="54" spans="1:8" x14ac:dyDescent="0.35">
      <c r="A54" s="53" t="s">
        <v>144</v>
      </c>
      <c r="B54" s="49">
        <v>0</v>
      </c>
      <c r="C54" s="49">
        <v>0</v>
      </c>
      <c r="D54" s="49">
        <v>1325771</v>
      </c>
      <c r="E54" s="77">
        <v>34.761756930871933</v>
      </c>
      <c r="F54" s="75" t="s">
        <v>139</v>
      </c>
    </row>
    <row r="55" spans="1:8" x14ac:dyDescent="0.35">
      <c r="A55" s="53" t="s">
        <v>79</v>
      </c>
      <c r="B55" s="49">
        <v>2487864</v>
      </c>
      <c r="C55" s="50">
        <v>65.231871601556207</v>
      </c>
      <c r="D55" s="49">
        <v>3813635</v>
      </c>
      <c r="E55" s="77">
        <v>99.993628532428147</v>
      </c>
      <c r="F55" s="75" t="s">
        <v>161</v>
      </c>
    </row>
    <row r="56" spans="1:8" x14ac:dyDescent="0.35">
      <c r="A56" s="53" t="s">
        <v>89</v>
      </c>
      <c r="B56" s="49">
        <v>243</v>
      </c>
      <c r="C56" s="50" t="s">
        <v>160</v>
      </c>
      <c r="D56" s="49">
        <v>3813878</v>
      </c>
      <c r="E56" s="77">
        <v>100</v>
      </c>
      <c r="F56" s="75" t="s">
        <v>139</v>
      </c>
    </row>
    <row r="57" spans="1:8" x14ac:dyDescent="0.35">
      <c r="A57" s="54"/>
      <c r="B57" s="55"/>
      <c r="C57" s="56"/>
      <c r="D57" s="57"/>
      <c r="E57" s="78"/>
      <c r="F57" s="79"/>
    </row>
    <row r="58" spans="1:8" x14ac:dyDescent="0.35">
      <c r="A58" s="87" t="s">
        <v>152</v>
      </c>
      <c r="B58" s="88"/>
      <c r="C58" s="89"/>
      <c r="D58" s="90"/>
      <c r="E58" s="89"/>
      <c r="F58" s="79"/>
    </row>
    <row r="59" spans="1:8" x14ac:dyDescent="0.35">
      <c r="A59" s="87" t="s">
        <v>151</v>
      </c>
      <c r="B59" s="88"/>
      <c r="C59" s="89"/>
      <c r="D59" s="90"/>
      <c r="E59" s="89"/>
      <c r="F59" s="79"/>
    </row>
    <row r="60" spans="1:8" x14ac:dyDescent="0.35">
      <c r="A60" s="74" t="s">
        <v>140</v>
      </c>
      <c r="F60" s="80" t="s">
        <v>139</v>
      </c>
    </row>
    <row r="61" spans="1:8" x14ac:dyDescent="0.35">
      <c r="F61" s="79"/>
    </row>
    <row r="62" spans="1:8" x14ac:dyDescent="0.35">
      <c r="F62" s="79"/>
    </row>
    <row r="63" spans="1:8" x14ac:dyDescent="0.35">
      <c r="F63" s="79"/>
    </row>
    <row r="64" spans="1:8" x14ac:dyDescent="0.35">
      <c r="F64" s="79"/>
    </row>
    <row r="65" spans="6:6" x14ac:dyDescent="0.35">
      <c r="F65" s="79"/>
    </row>
    <row r="66" spans="6:6" x14ac:dyDescent="0.35">
      <c r="F66" s="79"/>
    </row>
    <row r="67" spans="6:6" x14ac:dyDescent="0.35">
      <c r="F67" s="79"/>
    </row>
    <row r="68" spans="6:6" x14ac:dyDescent="0.35">
      <c r="F68" s="79"/>
    </row>
    <row r="69" spans="6:6" x14ac:dyDescent="0.35">
      <c r="F69" s="79"/>
    </row>
    <row r="70" spans="6:6" x14ac:dyDescent="0.35">
      <c r="F70" s="79"/>
    </row>
    <row r="71" spans="6:6" x14ac:dyDescent="0.35">
      <c r="F71" s="79"/>
    </row>
    <row r="72" spans="6:6" x14ac:dyDescent="0.35">
      <c r="F72" s="79"/>
    </row>
    <row r="73" spans="6:6" x14ac:dyDescent="0.35">
      <c r="F73" s="79"/>
    </row>
    <row r="74" spans="6:6" x14ac:dyDescent="0.35">
      <c r="F74" s="79"/>
    </row>
    <row r="75" spans="6:6" x14ac:dyDescent="0.35">
      <c r="F75" s="79"/>
    </row>
    <row r="76" spans="6:6" x14ac:dyDescent="0.35">
      <c r="F76" s="79"/>
    </row>
    <row r="77" spans="6:6" x14ac:dyDescent="0.35">
      <c r="F77" s="79"/>
    </row>
    <row r="78" spans="6:6" x14ac:dyDescent="0.35">
      <c r="F78" s="79"/>
    </row>
    <row r="79" spans="6:6" x14ac:dyDescent="0.35">
      <c r="F79" s="79"/>
    </row>
    <row r="80" spans="6:6" x14ac:dyDescent="0.35">
      <c r="F80" s="79"/>
    </row>
    <row r="81" spans="6:6" x14ac:dyDescent="0.35">
      <c r="F81" s="79"/>
    </row>
    <row r="82" spans="6:6" x14ac:dyDescent="0.35">
      <c r="F82" s="79"/>
    </row>
    <row r="83" spans="6:6" x14ac:dyDescent="0.35">
      <c r="F83" s="79"/>
    </row>
    <row r="84" spans="6:6" x14ac:dyDescent="0.35">
      <c r="F84" s="79"/>
    </row>
    <row r="85" spans="6:6" x14ac:dyDescent="0.35">
      <c r="F85" s="79"/>
    </row>
    <row r="86" spans="6:6" x14ac:dyDescent="0.35">
      <c r="F86" s="79"/>
    </row>
    <row r="87" spans="6:6" x14ac:dyDescent="0.35">
      <c r="F87" s="79"/>
    </row>
    <row r="88" spans="6:6" x14ac:dyDescent="0.35">
      <c r="F88" s="79"/>
    </row>
    <row r="89" spans="6:6" x14ac:dyDescent="0.35">
      <c r="F89" s="79"/>
    </row>
    <row r="90" spans="6:6" x14ac:dyDescent="0.35">
      <c r="F90" s="79"/>
    </row>
    <row r="91" spans="6:6" x14ac:dyDescent="0.35">
      <c r="F91" s="79"/>
    </row>
    <row r="92" spans="6:6" x14ac:dyDescent="0.35">
      <c r="F92" s="79"/>
    </row>
    <row r="93" spans="6:6" x14ac:dyDescent="0.35">
      <c r="F93" s="79"/>
    </row>
    <row r="94" spans="6:6" x14ac:dyDescent="0.35">
      <c r="F94" s="79"/>
    </row>
    <row r="95" spans="6:6" x14ac:dyDescent="0.35">
      <c r="F95" s="79"/>
    </row>
    <row r="96" spans="6:6" x14ac:dyDescent="0.35">
      <c r="F96" s="79"/>
    </row>
    <row r="97" spans="6:6" x14ac:dyDescent="0.35">
      <c r="F97" s="79"/>
    </row>
    <row r="98" spans="6:6" x14ac:dyDescent="0.35">
      <c r="F98" s="79"/>
    </row>
    <row r="99" spans="6:6" x14ac:dyDescent="0.35">
      <c r="F99" s="79"/>
    </row>
    <row r="100" spans="6:6" x14ac:dyDescent="0.35">
      <c r="F100" s="79"/>
    </row>
    <row r="101" spans="6:6" x14ac:dyDescent="0.35">
      <c r="F101" s="79"/>
    </row>
    <row r="102" spans="6:6" x14ac:dyDescent="0.35">
      <c r="F102" s="79"/>
    </row>
    <row r="103" spans="6:6" x14ac:dyDescent="0.35">
      <c r="F103" s="79"/>
    </row>
    <row r="104" spans="6:6" x14ac:dyDescent="0.35">
      <c r="F104" s="79"/>
    </row>
    <row r="105" spans="6:6" x14ac:dyDescent="0.35">
      <c r="F105" s="79"/>
    </row>
    <row r="106" spans="6:6" x14ac:dyDescent="0.35">
      <c r="F106" s="79"/>
    </row>
    <row r="107" spans="6:6" x14ac:dyDescent="0.35">
      <c r="F107" s="79"/>
    </row>
    <row r="108" spans="6:6" x14ac:dyDescent="0.35">
      <c r="F108" s="79"/>
    </row>
    <row r="109" spans="6:6" x14ac:dyDescent="0.35">
      <c r="F109" s="79"/>
    </row>
    <row r="110" spans="6:6" x14ac:dyDescent="0.35">
      <c r="F110" s="79"/>
    </row>
    <row r="111" spans="6:6" x14ac:dyDescent="0.35">
      <c r="F111" s="79"/>
    </row>
    <row r="112" spans="6:6" x14ac:dyDescent="0.35">
      <c r="F112" s="79"/>
    </row>
    <row r="113" spans="6:6" x14ac:dyDescent="0.35">
      <c r="F113" s="79"/>
    </row>
    <row r="114" spans="6:6" x14ac:dyDescent="0.35">
      <c r="F114" s="79"/>
    </row>
    <row r="115" spans="6:6" x14ac:dyDescent="0.35">
      <c r="F115" s="79"/>
    </row>
    <row r="116" spans="6:6" x14ac:dyDescent="0.35">
      <c r="F116" s="79"/>
    </row>
    <row r="117" spans="6:6" x14ac:dyDescent="0.35">
      <c r="F117" s="79"/>
    </row>
    <row r="118" spans="6:6" x14ac:dyDescent="0.35">
      <c r="F118" s="79"/>
    </row>
    <row r="119" spans="6:6" x14ac:dyDescent="0.35">
      <c r="F119" s="79"/>
    </row>
    <row r="120" spans="6:6" x14ac:dyDescent="0.35">
      <c r="F120" s="79"/>
    </row>
    <row r="121" spans="6:6" x14ac:dyDescent="0.35">
      <c r="F121" s="79"/>
    </row>
    <row r="122" spans="6:6" x14ac:dyDescent="0.35">
      <c r="F122" s="79"/>
    </row>
    <row r="123" spans="6:6" x14ac:dyDescent="0.35">
      <c r="F123" s="79"/>
    </row>
    <row r="124" spans="6:6" x14ac:dyDescent="0.35">
      <c r="F124" s="79"/>
    </row>
    <row r="125" spans="6:6" x14ac:dyDescent="0.35">
      <c r="F125" s="79"/>
    </row>
    <row r="126" spans="6:6" x14ac:dyDescent="0.35">
      <c r="F126" s="79"/>
    </row>
    <row r="127" spans="6:6" x14ac:dyDescent="0.35">
      <c r="F127" s="79"/>
    </row>
    <row r="128" spans="6:6" x14ac:dyDescent="0.35">
      <c r="F128" s="79"/>
    </row>
    <row r="129" spans="6:6" x14ac:dyDescent="0.35">
      <c r="F129" s="79"/>
    </row>
    <row r="130" spans="6:6" x14ac:dyDescent="0.35">
      <c r="F130" s="79"/>
    </row>
    <row r="131" spans="6:6" x14ac:dyDescent="0.35">
      <c r="F131" s="79"/>
    </row>
    <row r="132" spans="6:6" x14ac:dyDescent="0.35">
      <c r="F132" s="79"/>
    </row>
    <row r="133" spans="6:6" x14ac:dyDescent="0.35">
      <c r="F133" s="79"/>
    </row>
    <row r="134" spans="6:6" x14ac:dyDescent="0.35">
      <c r="F134" s="79"/>
    </row>
    <row r="135" spans="6:6" x14ac:dyDescent="0.35">
      <c r="F135" s="79"/>
    </row>
    <row r="136" spans="6:6" x14ac:dyDescent="0.35">
      <c r="F136" s="79"/>
    </row>
    <row r="137" spans="6:6" x14ac:dyDescent="0.35">
      <c r="F137" s="79"/>
    </row>
    <row r="138" spans="6:6" x14ac:dyDescent="0.35">
      <c r="F138" s="79"/>
    </row>
    <row r="139" spans="6:6" x14ac:dyDescent="0.35">
      <c r="F139" s="79"/>
    </row>
    <row r="140" spans="6:6" x14ac:dyDescent="0.35">
      <c r="F140" s="79"/>
    </row>
    <row r="141" spans="6:6" x14ac:dyDescent="0.35">
      <c r="F141" s="79"/>
    </row>
    <row r="142" spans="6:6" x14ac:dyDescent="0.35">
      <c r="F142" s="79"/>
    </row>
    <row r="143" spans="6:6" x14ac:dyDescent="0.35">
      <c r="F143" s="79"/>
    </row>
    <row r="144" spans="6:6" x14ac:dyDescent="0.35">
      <c r="F144" s="79"/>
    </row>
    <row r="145" spans="6:6" x14ac:dyDescent="0.35">
      <c r="F145" s="79"/>
    </row>
    <row r="146" spans="6:6" x14ac:dyDescent="0.35">
      <c r="F146" s="79"/>
    </row>
    <row r="147" spans="6:6" x14ac:dyDescent="0.35">
      <c r="F147" s="79"/>
    </row>
    <row r="148" spans="6:6" x14ac:dyDescent="0.35">
      <c r="F148" s="79"/>
    </row>
    <row r="149" spans="6:6" x14ac:dyDescent="0.35">
      <c r="F149" s="79"/>
    </row>
    <row r="150" spans="6:6" x14ac:dyDescent="0.35">
      <c r="F150" s="79"/>
    </row>
    <row r="151" spans="6:6" x14ac:dyDescent="0.35">
      <c r="F151" s="79"/>
    </row>
    <row r="152" spans="6:6" x14ac:dyDescent="0.35">
      <c r="F152" s="79"/>
    </row>
    <row r="153" spans="6:6" x14ac:dyDescent="0.35">
      <c r="F153" s="79"/>
    </row>
    <row r="154" spans="6:6" x14ac:dyDescent="0.35">
      <c r="F154" s="79"/>
    </row>
    <row r="155" spans="6:6" x14ac:dyDescent="0.35">
      <c r="F155" s="79"/>
    </row>
    <row r="156" spans="6:6" x14ac:dyDescent="0.35">
      <c r="F156" s="79"/>
    </row>
    <row r="157" spans="6:6" x14ac:dyDescent="0.35">
      <c r="F157" s="79"/>
    </row>
    <row r="158" spans="6:6" x14ac:dyDescent="0.35">
      <c r="F158" s="79"/>
    </row>
    <row r="159" spans="6:6" x14ac:dyDescent="0.35">
      <c r="F159" s="79"/>
    </row>
    <row r="160" spans="6:6" x14ac:dyDescent="0.35">
      <c r="F160" s="79"/>
    </row>
    <row r="161" spans="6:6" x14ac:dyDescent="0.35">
      <c r="F161" s="79"/>
    </row>
    <row r="162" spans="6:6" x14ac:dyDescent="0.35">
      <c r="F162" s="79"/>
    </row>
    <row r="163" spans="6:6" x14ac:dyDescent="0.35">
      <c r="F163" s="79"/>
    </row>
    <row r="164" spans="6:6" x14ac:dyDescent="0.35">
      <c r="F164" s="79"/>
    </row>
    <row r="165" spans="6:6" x14ac:dyDescent="0.35">
      <c r="F165" s="79"/>
    </row>
    <row r="166" spans="6:6" x14ac:dyDescent="0.35">
      <c r="F166" s="79"/>
    </row>
    <row r="167" spans="6:6" x14ac:dyDescent="0.35">
      <c r="F167" s="79"/>
    </row>
    <row r="168" spans="6:6" x14ac:dyDescent="0.35">
      <c r="F168" s="79"/>
    </row>
    <row r="169" spans="6:6" x14ac:dyDescent="0.35">
      <c r="F169" s="79"/>
    </row>
    <row r="170" spans="6:6" x14ac:dyDescent="0.35">
      <c r="F170" s="79"/>
    </row>
    <row r="171" spans="6:6" x14ac:dyDescent="0.35">
      <c r="F171" s="79"/>
    </row>
    <row r="172" spans="6:6" x14ac:dyDescent="0.35">
      <c r="F172" s="79"/>
    </row>
    <row r="173" spans="6:6" x14ac:dyDescent="0.35">
      <c r="F173" s="79"/>
    </row>
    <row r="174" spans="6:6" x14ac:dyDescent="0.35">
      <c r="F174" s="79"/>
    </row>
    <row r="175" spans="6:6" x14ac:dyDescent="0.35">
      <c r="F175" s="79"/>
    </row>
    <row r="176" spans="6:6" x14ac:dyDescent="0.35">
      <c r="F176" s="79"/>
    </row>
    <row r="177" spans="6:6" x14ac:dyDescent="0.35">
      <c r="F177" s="79"/>
    </row>
    <row r="178" spans="6:6" x14ac:dyDescent="0.35">
      <c r="F178" s="79"/>
    </row>
    <row r="179" spans="6:6" x14ac:dyDescent="0.35">
      <c r="F179" s="79"/>
    </row>
    <row r="180" spans="6:6" x14ac:dyDescent="0.35">
      <c r="F180" s="79"/>
    </row>
    <row r="181" spans="6:6" x14ac:dyDescent="0.35">
      <c r="F181" s="79"/>
    </row>
    <row r="182" spans="6:6" x14ac:dyDescent="0.35">
      <c r="F182" s="79"/>
    </row>
    <row r="183" spans="6:6" x14ac:dyDescent="0.35">
      <c r="F183" s="79"/>
    </row>
    <row r="184" spans="6:6" x14ac:dyDescent="0.35">
      <c r="F184" s="79"/>
    </row>
    <row r="185" spans="6:6" x14ac:dyDescent="0.35">
      <c r="F185" s="79"/>
    </row>
    <row r="186" spans="6:6" x14ac:dyDescent="0.35">
      <c r="F186" s="79"/>
    </row>
    <row r="187" spans="6:6" x14ac:dyDescent="0.35">
      <c r="F187" s="79"/>
    </row>
    <row r="188" spans="6:6" x14ac:dyDescent="0.35">
      <c r="F188" s="79"/>
    </row>
    <row r="189" spans="6:6" x14ac:dyDescent="0.35">
      <c r="F189" s="79"/>
    </row>
    <row r="190" spans="6:6" x14ac:dyDescent="0.35">
      <c r="F190" s="79"/>
    </row>
    <row r="191" spans="6:6" x14ac:dyDescent="0.35">
      <c r="F191" s="79"/>
    </row>
    <row r="192" spans="6:6" x14ac:dyDescent="0.35">
      <c r="F192" s="79"/>
    </row>
    <row r="193" spans="6:6" x14ac:dyDescent="0.35">
      <c r="F193" s="79"/>
    </row>
    <row r="194" spans="6:6" x14ac:dyDescent="0.35">
      <c r="F194" s="79"/>
    </row>
    <row r="195" spans="6:6" x14ac:dyDescent="0.35">
      <c r="F195" s="79"/>
    </row>
    <row r="196" spans="6:6" x14ac:dyDescent="0.35">
      <c r="F196" s="79"/>
    </row>
    <row r="197" spans="6:6" x14ac:dyDescent="0.35">
      <c r="F197" s="79"/>
    </row>
    <row r="198" spans="6:6" x14ac:dyDescent="0.35">
      <c r="F198" s="79"/>
    </row>
    <row r="199" spans="6:6" x14ac:dyDescent="0.35">
      <c r="F199" s="79"/>
    </row>
    <row r="200" spans="6:6" x14ac:dyDescent="0.35">
      <c r="F200" s="79"/>
    </row>
    <row r="201" spans="6:6" x14ac:dyDescent="0.35">
      <c r="F201" s="79"/>
    </row>
    <row r="202" spans="6:6" x14ac:dyDescent="0.35">
      <c r="F202" s="79"/>
    </row>
    <row r="203" spans="6:6" x14ac:dyDescent="0.35">
      <c r="F203" s="79"/>
    </row>
    <row r="204" spans="6:6" x14ac:dyDescent="0.35">
      <c r="F204" s="79"/>
    </row>
    <row r="205" spans="6:6" x14ac:dyDescent="0.35">
      <c r="F205" s="79"/>
    </row>
    <row r="206" spans="6:6" x14ac:dyDescent="0.35">
      <c r="F206" s="79"/>
    </row>
    <row r="207" spans="6:6" x14ac:dyDescent="0.35">
      <c r="F207" s="79"/>
    </row>
    <row r="208" spans="6:6" x14ac:dyDescent="0.35">
      <c r="F208" s="79"/>
    </row>
    <row r="209" spans="6:6" x14ac:dyDescent="0.35">
      <c r="F209" s="79"/>
    </row>
    <row r="210" spans="6:6" x14ac:dyDescent="0.35">
      <c r="F210" s="79"/>
    </row>
    <row r="211" spans="6:6" x14ac:dyDescent="0.35">
      <c r="F211" s="79"/>
    </row>
    <row r="212" spans="6:6" x14ac:dyDescent="0.35">
      <c r="F212" s="79"/>
    </row>
    <row r="213" spans="6:6" x14ac:dyDescent="0.35">
      <c r="F213" s="79"/>
    </row>
    <row r="214" spans="6:6" x14ac:dyDescent="0.35">
      <c r="F214" s="79"/>
    </row>
    <row r="215" spans="6:6" x14ac:dyDescent="0.35">
      <c r="F215" s="79"/>
    </row>
    <row r="216" spans="6:6" x14ac:dyDescent="0.35">
      <c r="F216" s="79"/>
    </row>
    <row r="220" spans="6:6" ht="14.5" x14ac:dyDescent="0.35">
      <c r="F220" s="44"/>
    </row>
    <row r="221" spans="6:6" ht="14.5" x14ac:dyDescent="0.35">
      <c r="F221" s="44"/>
    </row>
    <row r="222" spans="6:6" ht="14.5" x14ac:dyDescent="0.35">
      <c r="F222" s="44"/>
    </row>
    <row r="223" spans="6:6" ht="14.5" x14ac:dyDescent="0.35">
      <c r="F223" s="44"/>
    </row>
    <row r="224" spans="6:6" ht="14.5" x14ac:dyDescent="0.35">
      <c r="F224" s="44"/>
    </row>
    <row r="225" spans="6:6" ht="14.5" x14ac:dyDescent="0.35">
      <c r="F225" s="44"/>
    </row>
    <row r="226" spans="6:6" ht="14.5" x14ac:dyDescent="0.35">
      <c r="F226" s="44"/>
    </row>
    <row r="227" spans="6:6" ht="14.5" x14ac:dyDescent="0.35">
      <c r="F227" s="44"/>
    </row>
    <row r="228" spans="6:6" ht="14.5" x14ac:dyDescent="0.35">
      <c r="F228" s="44"/>
    </row>
    <row r="229" spans="6:6" ht="14.5" x14ac:dyDescent="0.35">
      <c r="F229" s="44"/>
    </row>
    <row r="230" spans="6:6" ht="14.5" x14ac:dyDescent="0.35">
      <c r="F230" s="44"/>
    </row>
    <row r="231" spans="6:6" ht="14.5" x14ac:dyDescent="0.35">
      <c r="F231" s="44"/>
    </row>
    <row r="232" spans="6:6" ht="14.5" x14ac:dyDescent="0.35">
      <c r="F232" s="44"/>
    </row>
    <row r="233" spans="6:6" ht="14.5" x14ac:dyDescent="0.35">
      <c r="F233" s="44"/>
    </row>
    <row r="234" spans="6:6" ht="14.5" x14ac:dyDescent="0.35">
      <c r="F234" s="44"/>
    </row>
    <row r="235" spans="6:6" ht="14.5" x14ac:dyDescent="0.35">
      <c r="F235" s="44"/>
    </row>
    <row r="236" spans="6:6" ht="14.5" x14ac:dyDescent="0.35">
      <c r="F236" s="44"/>
    </row>
    <row r="237" spans="6:6" ht="14.5" x14ac:dyDescent="0.35">
      <c r="F237" s="44"/>
    </row>
    <row r="238" spans="6:6" ht="14.5" x14ac:dyDescent="0.35">
      <c r="F238" s="44"/>
    </row>
    <row r="239" spans="6:6" ht="14.5" x14ac:dyDescent="0.35">
      <c r="F239" s="44"/>
    </row>
    <row r="240" spans="6:6" ht="14.5" x14ac:dyDescent="0.35">
      <c r="F240" s="44"/>
    </row>
    <row r="242" spans="6:6" x14ac:dyDescent="0.35">
      <c r="F242" s="81"/>
    </row>
    <row r="246" spans="6:6" x14ac:dyDescent="0.35">
      <c r="F246" s="81"/>
    </row>
    <row r="250" spans="6:6" x14ac:dyDescent="0.35">
      <c r="F250" s="81"/>
    </row>
    <row r="254" spans="6:6" x14ac:dyDescent="0.35">
      <c r="F254" s="81"/>
    </row>
    <row r="258" spans="6:6" x14ac:dyDescent="0.35">
      <c r="F258" s="81"/>
    </row>
    <row r="262" spans="6:6" x14ac:dyDescent="0.35">
      <c r="F262" s="8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0.249977111117893"/>
  </sheetPr>
  <dimension ref="A1:J2"/>
  <sheetViews>
    <sheetView workbookViewId="0"/>
  </sheetViews>
  <sheetFormatPr defaultColWidth="9.1796875" defaultRowHeight="14.5" x14ac:dyDescent="0.35"/>
  <cols>
    <col min="2" max="2" width="20.54296875" customWidth="1"/>
    <col min="3" max="3" width="15" customWidth="1"/>
    <col min="4" max="4" width="9.26953125" bestFit="1" customWidth="1"/>
    <col min="5" max="5" width="10.1796875" bestFit="1" customWidth="1"/>
    <col min="6" max="6" width="11.1796875" bestFit="1" customWidth="1"/>
    <col min="7" max="7" width="9.26953125" bestFit="1" customWidth="1"/>
    <col min="8" max="8" width="10" customWidth="1"/>
    <col min="9" max="9" width="10.81640625" customWidth="1"/>
    <col min="10" max="10" width="9.26953125" bestFit="1" customWidth="1"/>
  </cols>
  <sheetData>
    <row r="1" spans="1:10" s="39" customFormat="1" ht="29" x14ac:dyDescent="0.35">
      <c r="A1" s="40" t="s">
        <v>57</v>
      </c>
      <c r="B1" s="40" t="s">
        <v>2</v>
      </c>
      <c r="C1" s="40" t="s">
        <v>50</v>
      </c>
      <c r="D1" s="41" t="s">
        <v>120</v>
      </c>
      <c r="E1" s="41" t="s">
        <v>122</v>
      </c>
      <c r="F1" s="61" t="s">
        <v>51</v>
      </c>
      <c r="G1" s="46" t="s">
        <v>52</v>
      </c>
      <c r="H1" s="62" t="s">
        <v>53</v>
      </c>
      <c r="I1" s="63" t="s">
        <v>54</v>
      </c>
      <c r="J1" s="41" t="s">
        <v>55</v>
      </c>
    </row>
    <row r="2" spans="1:10" x14ac:dyDescent="0.35">
      <c r="A2" s="64" t="s">
        <v>0</v>
      </c>
      <c r="B2" s="68" t="s">
        <v>29</v>
      </c>
      <c r="C2" s="64" t="s">
        <v>56</v>
      </c>
      <c r="D2" s="49">
        <v>18546</v>
      </c>
      <c r="E2" s="49">
        <v>3813878</v>
      </c>
      <c r="F2" s="49">
        <v>248530893</v>
      </c>
      <c r="G2" s="49">
        <v>0</v>
      </c>
      <c r="H2" s="49">
        <v>419929</v>
      </c>
      <c r="I2" s="49">
        <v>65.782587899999996</v>
      </c>
      <c r="J2" s="49">
        <v>35813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9" ma:contentTypeDescription="Create a new document." ma:contentTypeScope="" ma:versionID="b41075fa3907bf24da188a9be314ec1d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1770e6ed8783350340e2f5370c6e5255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1AE498-F06C-42B1-A4B8-CE604A9ACB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098D2-9DD3-4666-B825-AFDF2EB58849}">
  <ds:schemaRefs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4f36bac4-6705-4a36-974b-7c07450fedf2"/>
    <ds:schemaRef ds:uri="http://purl.org/dc/elements/1.1/"/>
    <ds:schemaRef ds:uri="http://schemas.openxmlformats.org/package/2006/metadata/core-properties"/>
    <ds:schemaRef ds:uri="292db1e8-b3d0-4356-8ef3-2a6d7ed7788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5A889C6-DDE1-4F5A-938C-9B45842AD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File Layout</vt:lpstr>
      <vt:lpstr>Stats-Char</vt:lpstr>
      <vt:lpstr>Stats-Cat</vt:lpstr>
      <vt:lpstr>Stats-Continuous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 Sinclair</dc:creator>
  <cp:lastModifiedBy>Chen, Chen-Su</cp:lastModifiedBy>
  <dcterms:created xsi:type="dcterms:W3CDTF">2018-02-08T21:15:14Z</dcterms:created>
  <dcterms:modified xsi:type="dcterms:W3CDTF">2024-11-11T11:55:38Z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83a73746-411d-4fe2-8188-3c6d9ef28328</vt:lpwstr>
  </property>
  <property fmtid="{D5CDD505-2E9C-101B-9397-08002B2CF9AE}" pid="3" name="ContentTypeId">
    <vt:lpwstr>0x01010000721A7242F9CD49BD1E05495CEFC5E9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WorkflowName">
    <vt:lpwstr/>
  </property>
  <property fmtid="{D5CDD505-2E9C-101B-9397-08002B2CF9AE}" pid="8" name="AssignedTo">
    <vt:lpwstr/>
  </property>
  <property fmtid="{D5CDD505-2E9C-101B-9397-08002B2CF9AE}" pid="9" name="MediaServiceImageTags">
    <vt:lpwstr/>
  </property>
  <property fmtid="{D5CDD505-2E9C-101B-9397-08002B2CF9AE}" pid="10" name="Document Notes">
    <vt:lpwstr/>
  </property>
  <property fmtid="{D5CDD505-2E9C-101B-9397-08002B2CF9AE}" pid="11" name="Priority">
    <vt:lpwstr/>
  </property>
  <property fmtid="{D5CDD505-2E9C-101B-9397-08002B2CF9AE}" pid="12" name="Predecessors">
    <vt:lpwstr/>
  </property>
  <property fmtid="{D5CDD505-2E9C-101B-9397-08002B2CF9AE}" pid="13" name="Document Notes0">
    <vt:lpwstr/>
  </property>
  <property fmtid="{D5CDD505-2E9C-101B-9397-08002B2CF9AE}" pid="14" name="Body">
    <vt:lpwstr/>
  </property>
  <property fmtid="{D5CDD505-2E9C-101B-9397-08002B2CF9AE}" pid="15" name="TaskStatus">
    <vt:lpwstr/>
  </property>
</Properties>
</file>